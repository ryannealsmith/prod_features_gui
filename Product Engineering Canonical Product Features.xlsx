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CA500" sheetId="1" r:id="rId4"/>
    <sheet state="hidden" name="Terberg" sheetId="2" r:id="rId5"/>
    <sheet state="hidden" name="T800" sheetId="3" r:id="rId6"/>
    <sheet state="hidden" name="Requirements" sheetId="4" r:id="rId7"/>
    <sheet state="hidden" name="Overall" sheetId="5" r:id="rId8"/>
    <sheet state="visible" name="Configurations" sheetId="6" r:id="rId9"/>
    <sheet state="hidden" name="IGNORE ProductFeature -&gt; Capabi" sheetId="7" r:id="rId10"/>
    <sheet state="visible" name="TRLs" sheetId="8" r:id="rId11"/>
    <sheet state="visible" name="Product Features" sheetId="9" r:id="rId12"/>
    <sheet state="visible" name="Capabilities" sheetId="10" r:id="rId13"/>
    <sheet state="visible" name="Technical Functions (WIP)" sheetId="11" r:id="rId14"/>
    <sheet state="visible" name="PF Query Readiness Matrix" sheetId="12" r:id="rId15"/>
    <sheet state="visible" name="PF Roadmap" sheetId="13" r:id="rId16"/>
    <sheet state="hidden" name="IGNORE Product Feature to Miles" sheetId="14" r:id="rId17"/>
    <sheet state="hidden" name="IGNORE IssuesRisks" sheetId="15" r:id="rId18"/>
    <sheet state="hidden" name="Sheet12" sheetId="16" r:id="rId19"/>
  </sheets>
  <definedNames>
    <definedName hidden="1" localSheetId="5" name="_xlnm._FilterDatabase">Configurations!$A$1:$F$32</definedName>
    <definedName hidden="1" localSheetId="9" name="_xlnm._FilterDatabase">Capabilities!$A$1:$S$130</definedName>
    <definedName hidden="1" localSheetId="11" name="_xlnm._FilterDatabase">'PF Query Readiness Matrix'!$A$9:$I$125</definedName>
    <definedName hidden="1" localSheetId="14" name="_xlnm._FilterDatabase">'IGNORE IssuesRisks'!$A$1:$W$102</definedName>
    <definedName hidden="1" localSheetId="14" name="Z_80A88FB1_C55E_453A_80A0_DA2D89554AA4_.wvu.FilterData">'IGNORE IssuesRisks'!$A$1:$O$102</definedName>
  </definedNames>
  <calcPr/>
  <customWorkbookViews>
    <customWorkbookView activeSheetId="0" maximized="1" windowHeight="0" windowWidth="0" guid="{80A88FB1-C55E-453A-80A0-DA2D89554AA4}" name="Filter 1"/>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20">
      <text>
        <t xml:space="preserve">thos makes me feel there are secondary documents that folks wont read and we get into a pickle?
	-Paul Newman
Click on + symbol left hand side of row number for breakdown. I think @luke.osmokrovic@oxa.tech did this to improve readability
	-Gemma Clarke</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7">
      <text>
        <t xml:space="preserve">we should add that comfort is not a prioirity
	-Paul Newman
Agreed. KPIs specifically exclude HB rates.  This line is added because if ride-along is allowed, then our safety functions need to ensure we don't drive into the ocean or into a ditch. Suddenly localisation becomes part of the safety functions, unless we can perceive these hazards and avoid them.
	-Luke Osmokrovic</t>
      </text>
    </comment>
    <comment authorId="0" ref="C53">
      <text>
        <t xml:space="preserve">Hard to turn these first two Driving Action rows into yes/no format.  We could eliminated them... it's mostly meant to characterize the complexity of autonomous navigation. 
We could consider, "Navigation in unstructured traffic" and turn that into a yes/no.
	-Luke Osmokrovic</t>
      </text>
    </comment>
    <comment authorId="0" ref="B10">
      <text>
        <t xml:space="preserve">I think one of these needs to simply say "driver out", or it will get lost
	-Paul Newman
The challenge with driver out is it mixes the idea of a safety driver performing the SDIC and a supervisor that is just there to take over manually when our operation gets stuck.   We intend to relay on system safety and not the SDIC after Q1 next year, whereas we expect a human to remain in the cab beyond Q2 to cover exception cases.
	-Luke Osmokrovic</t>
      </text>
    </comment>
    <comment authorId="0" ref="B23">
      <text>
        <t xml:space="preserve">Consider expanding this list to everything in the vehicle specs. 
Also consider changing this from a "yes/no" we can detect and manage, to a "who detects" value (Auto, ACSO, RO).
Vehicle specs: https://docs.google.com/document/d/1sT_k7RkrBWa7aDBwiml0S-H_W14LU13VvAvUKw_lrEE/edit?tab=t.0#heading=h.bxsrhrn9tfl4
	-Luke Osmokrovic</t>
      </text>
    </comment>
    <comment authorId="0" ref="D30">
      <text>
        <t xml:space="preserve">P-CAL does not require reversing
	-Bryn Balcombe
Right.. drop-off at the stacks involves reach-stackers or side-handlers.  We don't need to back into a pick-up point for an RTG or RMG.  Correct?
	-Luke Osmokrovic</t>
      </text>
    </comment>
    <comment authorId="0" ref="G9">
      <text>
        <t xml:space="preserve">@luke.osmokrovic@oxa.tech This says No to driver out for a deliverable titled driver out controlled environment. Is this a shakedown exercise or a typo?
_Assigned to Luke Osmokrovic_
	-Akshay Morye
These fields need to be corrected because "driver out" is very confusing.  In this case, I believe we have to rely on SDIC because certified system safety is unrealistic until EoQ1. BUT we could conduct tests with no driver in the cab via *remote* supervision.
	-Luke Osmokrovic</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7">
      <text>
        <t xml:space="preserve">@robin.holligan@oxa.tech would this be easier to express as ‘number of AVs under supervision of a single operator’?
	-Matthew Caplan
Yes that makes sense - this was just copy/pasted from other sheets.
	-Robin Holligan</t>
      </text>
    </comment>
    <comment authorId="0" ref="D53">
      <text>
        <t xml:space="preserve">This sounds AM specific
	-Robin Holligan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BP_05 Build Complete
	-Robert Deaves
----
BP_04 Build Complete (target Zaragoza)
	-Robert Deaves
----
BP_01 GA0 Build Complete
	-Robert Deaves
----
We need to add columns to reflect our uptime, productivity and response time to exception cases. That's what we'll really have to improve as we step  through these graduated MVPs.
	-Luke Osmokrovic
yes do that
	-Paul Newman
----
Might want to split this into a couple different types of interactions.  Button presses, or VRUs just nearby?
	-Luke Osmokrovic</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8">
      <text>
        <t xml:space="preserve">@noel.dutoit@oxa.tech we don't actually want this when a human is nearby in general, do we?... We only want to enter SAFESTATE when we are expecting an interaction, or when we need a confirmation to proceed, or when a human comes close enough (y&lt;1m) for it to be considered an interaction. Otherwise, we'll "SAFESTATE" MRM every time we pass by a human along our way.
	-Luke Osmokrovic
The description seems to have gotten lost. Do you remember what it was?
	-Noel Du Toit</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3">
      <text>
        <t xml:space="preserve">@noel.dutoit@oxa.tech no nightime anymore?
	-Iain Gillam</t>
      </text>
    </comment>
    <comment authorId="0" ref="Q43">
      <text>
        <t xml:space="preserve">@noel.dutoit@oxa.tech assuming not a semi trailer for T800
	-Iain Gillam</t>
      </text>
    </comment>
    <comment authorId="0" ref="V44">
      <text>
        <t xml:space="preserve">@noel.dutoit@oxa.tech I'm assuming these are needed for the BMW stuff
	-Iain Gillam</t>
      </text>
    </comment>
    <comment authorId="0" ref="Q23">
      <text>
        <t xml:space="preserve">@noel.dutoit@oxa.tech I'm not quite sure on the trailer type for T800 in CLIC
	-Iain Gillam</t>
      </text>
    </comment>
    <comment authorId="0" ref="G7">
      <text>
        <t xml:space="preserve">Need a CA500 ODD
	-Iain Gillam</t>
      </text>
    </comment>
    <comment authorId="0" ref="V7">
      <text>
        <t xml:space="preserve">Think we need another ODD with people in indoor environment
	-Iain Gillam</t>
      </text>
    </comment>
    <comment authorId="0" ref="S4">
      <text>
        <t xml:space="preserve">seed date not sure on actual date
	-Iain Gillam</t>
      </text>
    </comment>
    <comment authorId="0" ref="Y4">
      <text>
        <t xml:space="preserve">Seed date not sure on actual date
	-Iain Gillam</t>
      </text>
    </comment>
    <comment authorId="0" ref="X4">
      <text>
        <t xml:space="preserve">Seed date note sure on actual date
	-Iain Gillam</t>
      </text>
    </comment>
    <comment authorId="0" ref="V4">
      <text>
        <t xml:space="preserve">Seed date note sure of actual date
	-Iain Gillam</t>
      </text>
    </comment>
    <comment authorId="0" ref="J4">
      <text>
        <t xml:space="preserve">Seed date
	-Iain Gillam</t>
      </text>
    </comment>
    <comment authorId="0" ref="E4">
      <text>
        <t xml:space="preserve">When? Seed date
	-Iain Gillam</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7">
      <text>
        <t xml:space="preserve">probability = how likely this will be an issue
severity = how much of the market is affected</t>
      </text>
    </comment>
    <comment authorId="0" ref="C40">
      <text>
        <t xml:space="preserve">Investigate
Architect
Prototype
Develop
Improve</t>
      </text>
    </comment>
  </commentList>
</comments>
</file>

<file path=xl/sharedStrings.xml><?xml version="1.0" encoding="utf-8"?>
<sst xmlns="http://schemas.openxmlformats.org/spreadsheetml/2006/main" count="5440" uniqueCount="1296">
  <si>
    <t>Milestone &gt;</t>
  </si>
  <si>
    <t>Culham Farm</t>
  </si>
  <si>
    <t>GA0 Build (UK)</t>
  </si>
  <si>
    <t>GA1 Build (EU)</t>
  </si>
  <si>
    <t>Pilot Complete</t>
  </si>
  <si>
    <t>GA2 Build (EU)</t>
  </si>
  <si>
    <t>Surveilance (UK)</t>
  </si>
  <si>
    <t>Rugged Utility Vehicle</t>
  </si>
  <si>
    <t>Theme</t>
  </si>
  <si>
    <t>Pre-set inspection,  
"keep away" site policy</t>
  </si>
  <si>
    <t>Dynamic inspection,  
"keep away" site policy</t>
  </si>
  <si>
    <t>Dynamic inspection,  
"stand aside" site policy</t>
  </si>
  <si>
    <t>"faster witth people"</t>
  </si>
  <si>
    <t>"stand aside" 
harsh conditions 
expanded inspection scope</t>
  </si>
  <si>
    <t>Major Delta</t>
  </si>
  <si>
    <t>Required by</t>
  </si>
  <si>
    <t>Product Operational Fundamentals</t>
  </si>
  <si>
    <t>Speed &gt; 5mph</t>
  </si>
  <si>
    <t>No</t>
  </si>
  <si>
    <t>Yes</t>
  </si>
  <si>
    <t>Driver out</t>
  </si>
  <si>
    <t>Automomous missions can run with no driver in the vehicle.</t>
  </si>
  <si>
    <t>Interoperation with humans</t>
  </si>
  <si>
    <t xml:space="preserve">Humans are allowed to work in the vicinity of the vehicle, while the vehicle is executing an autonomous mission.  Vehicle will prevent motion towards humans when separation is &lt; 0.5 m. </t>
  </si>
  <si>
    <t>Interaction with humans (HRMI)</t>
  </si>
  <si>
    <t>Vehicle supports workflows in which humans must approach the vehicle and interact with an interface during the mission.</t>
  </si>
  <si>
    <t>Not Req'd</t>
  </si>
  <si>
    <t>Manual driving</t>
  </si>
  <si>
    <t>Vehicle supports manual driving, and safe suppresion of autonomous commands.</t>
  </si>
  <si>
    <t>Remote driving</t>
  </si>
  <si>
    <t xml:space="preserve">Teleoperation of vehicle motion possible (RA:M4). Data compression, bandwidth and control latency is managed to fit the capacity of internet service in the field. </t>
  </si>
  <si>
    <t>Locale</t>
  </si>
  <si>
    <t>FTA</t>
  </si>
  <si>
    <t>Customer</t>
  </si>
  <si>
    <t>Supported environmental conditions</t>
  </si>
  <si>
    <t>see detail</t>
  </si>
  <si>
    <t>Seasonal capabiltiy</t>
  </si>
  <si>
    <t>3-season (above freezing)</t>
  </si>
  <si>
    <t>Year-Round</t>
  </si>
  <si>
    <t>Ground coverage</t>
  </si>
  <si>
    <t>Clear / level</t>
  </si>
  <si>
    <t>Identify voids</t>
  </si>
  <si>
    <t>Precipitation / Fog</t>
  </si>
  <si>
    <t>High, &gt; 100 m</t>
  </si>
  <si>
    <t>Med &gt; 50 m</t>
  </si>
  <si>
    <t>Low &gt; 10 m</t>
  </si>
  <si>
    <t>Illumination</t>
  </si>
  <si>
    <t>Day, glare</t>
  </si>
  <si>
    <t>Night &gt; 12 LUX</t>
  </si>
  <si>
    <t>Night &lt; 12 LUX</t>
  </si>
  <si>
    <t>Supported missions</t>
  </si>
  <si>
    <t>Assign asset inspection tasks</t>
  </si>
  <si>
    <t>Assign perimeter inspection tasks</t>
  </si>
  <si>
    <t>Assign point inspection tasks</t>
  </si>
  <si>
    <t>Assign sentry tasks</t>
  </si>
  <si>
    <t>Assign fetch and deliver tasks</t>
  </si>
  <si>
    <t>Capabilities Workflows</t>
  </si>
  <si>
    <t>Operable without Oxa on site</t>
  </si>
  <si>
    <t>Partial</t>
  </si>
  <si>
    <t>Remote boot and mode control</t>
  </si>
  <si>
    <t xml:space="preserve">Remote operator is capable of manipulating vehicle operating mode, base vehicle controls, device management, and tasking  </t>
  </si>
  <si>
    <t>Dynamic mission management</t>
  </si>
  <si>
    <t>Vehicle monitors system state and site conditions to automatically decide when to retire, when to launch driving operations, when to conduct home-base operations.</t>
  </si>
  <si>
    <t xml:space="preserve">Remote update </t>
  </si>
  <si>
    <t>Updates of software, calibration files, vehicle config, and maps may be performed remotely by an administrator.</t>
  </si>
  <si>
    <t>Continuous monitoring</t>
  </si>
  <si>
    <t>Vehicle telemetry is available in Hub for all operating modes: auto, manual, at home.</t>
  </si>
  <si>
    <t>Automated uploads</t>
  </si>
  <si>
    <t>q</t>
  </si>
  <si>
    <t>Touchless launch</t>
  </si>
  <si>
    <t>Vehicle remains powered during downtime/overnight.  Pre-shift preparations and commencement of driving operations does not require local input from an operator.</t>
  </si>
  <si>
    <t>Inclines &gt; 10%</t>
  </si>
  <si>
    <t>Vehicle may operate on inclines &gt; 10% / 6deg.</t>
  </si>
  <si>
    <t>Static obstacle avoidance</t>
  </si>
  <si>
    <t>System is capable of detecting and avoiding static obstacles typical of the target environment.</t>
  </si>
  <si>
    <t>Dynamic obstacle avoidance</t>
  </si>
  <si>
    <t>System is capable of detecting and avoiding dynamic obstacles typical of the target environment.</t>
  </si>
  <si>
    <t>Driving in reverse</t>
  </si>
  <si>
    <t>Remote guided charger engagement</t>
  </si>
  <si>
    <t xml:space="preserve">Vehicle may be engaged by a remote operator, with the help of feedback visualisations.  Localisation and connectivity transitions and managed by the vehicle. </t>
  </si>
  <si>
    <t>Automated charger engagement</t>
  </si>
  <si>
    <t xml:space="preserve">Vehicle may be engaged by a remote operator, with the help of feedback visualisations.  Localisation and connectivity transitions are managed by the vehicle. </t>
  </si>
  <si>
    <t>KPI:  Availability (%)</t>
  </si>
  <si>
    <t>A measure of uptime during scheduled operating hours.</t>
  </si>
  <si>
    <t xml:space="preserve">  N/A</t>
  </si>
  <si>
    <r>
      <rPr>
        <rFont val="Arial"/>
        <b/>
        <color theme="1"/>
      </rPr>
      <t xml:space="preserve">KPI:  RO Burden </t>
    </r>
    <r>
      <rPr>
        <rFont val="Arial"/>
        <b val="0"/>
        <color theme="1"/>
      </rPr>
      <t>(hours per day)</t>
    </r>
  </si>
  <si>
    <t>The total atttention required per AV from a remote operator, averaged over an 8h shift</t>
  </si>
  <si>
    <t xml:space="preserve">  1.3 h</t>
  </si>
  <si>
    <t xml:space="preserve">  0.4 h</t>
  </si>
  <si>
    <t xml:space="preserve">  0.25 h</t>
  </si>
  <si>
    <r>
      <rPr>
        <rFont val="Arial"/>
        <b/>
        <color theme="1"/>
      </rPr>
      <t>KPI:  Viable Inspections</t>
    </r>
    <r>
      <rPr>
        <rFont val="Arial"/>
        <b val="0"/>
        <color theme="1"/>
      </rPr>
      <t xml:space="preserve"> (%)</t>
    </r>
  </si>
  <si>
    <t>Percentage of inspection events that are processed by the digital twin provider and return a conclusive result</t>
  </si>
  <si>
    <t>KPI:  Anomaly Coverage, Topside</t>
  </si>
  <si>
    <t>Portion of anomaly types discoverable by the Asset Monitoring product. This is a combination of digital twin partner processing capability, and IR camera configuration tuning.</t>
  </si>
  <si>
    <t>Detailed anomalies (5% incidents)</t>
  </si>
  <si>
    <t>Module-level anomalies (15% incidents)</t>
  </si>
  <si>
    <t>Array-level anomalies (80% incidents)</t>
  </si>
  <si>
    <t>KPI: Anomaly Coverage, Underside</t>
  </si>
  <si>
    <t xml:space="preserve">Vehicle is able to identify thermal anomalies in connectors and junction boxes, and read panel barcodes. </t>
  </si>
  <si>
    <t>Module-level underside anomalies</t>
  </si>
  <si>
    <t>Panel ID detection</t>
  </si>
  <si>
    <t>TBD</t>
  </si>
  <si>
    <t>Cabinet anomalies</t>
  </si>
  <si>
    <t>Commercial Product Fundamentals</t>
  </si>
  <si>
    <t>Machinery Directive Tech File</t>
  </si>
  <si>
    <t>Architecture,  requirements and documentation of Technical Conformity File is complete.  Declaration pending final test results and review.</t>
  </si>
  <si>
    <t>CE marking</t>
  </si>
  <si>
    <t>Digital twin integration</t>
  </si>
  <si>
    <t xml:space="preserve">Payload data transfer to the digital twin service is automated.  Status and outcome of processed data is queryable by Hub for informed inspection planning. </t>
  </si>
  <si>
    <t>FTA Demo A (beige)</t>
  </si>
  <si>
    <t>CLIC - First ctrld demo supervised</t>
  </si>
  <si>
    <t>CLIC - Driver out controlled env</t>
  </si>
  <si>
    <t>CLIC A - Yard-Yard transfer demo</t>
  </si>
  <si>
    <t>CLIC B - Quay-Yard transfer pilot supervised</t>
  </si>
  <si>
    <t>CLIC C - Quay-Yard transfer pilot full time</t>
  </si>
  <si>
    <t>FTA Demo B (expected)</t>
  </si>
  <si>
    <t>VANTEC - Dock transfer, full shift</t>
  </si>
  <si>
    <t>Total Solution Variant Name</t>
  </si>
  <si>
    <t>Demonstrations in Culham of Forward and Reversing Manoeuvres</t>
  </si>
  <si>
    <t>First demo CHE-CHE cycle at CLIC test env, full shift. Manually instructed? TOS instructed?</t>
  </si>
  <si>
    <t>remove this?</t>
  </si>
  <si>
    <t xml:space="preserve">Production cargo, STS-RMG cycle, full shift. ToS instructed. Supervisor covers ops. </t>
  </si>
  <si>
    <t xml:space="preserve">Production cargo, STS-RMG cycle, continuous 24h service with shift rotation. ToS instructed. Supervisor covers ops. </t>
  </si>
  <si>
    <t>Demo cycles at Vantec</t>
  </si>
  <si>
    <t>Production cargo, Dock-Dock cycle, full shift. Manually instructed?</t>
  </si>
  <si>
    <t>First Available</t>
  </si>
  <si>
    <t>when??</t>
  </si>
  <si>
    <t>01/06/2026 ??</t>
  </si>
  <si>
    <t>Technical conformity file is complete, and includes results from manditory testing (EMC), and validation evidence of safety functions.</t>
  </si>
  <si>
    <t>System safety (aka driver out capable)</t>
  </si>
  <si>
    <t xml:space="preserve">Certified safe functions (system safety) protect humans from harm during autonomous operation, rather than employing a Safety Driver Intervention Concept (SDIC).  System safety means the vehicle is driver-out capable from a safety perspective.  (A human in the cap may still be needed for bridging exception cases and operational streamlining) </t>
  </si>
  <si>
    <t>SDIC</t>
  </si>
  <si>
    <t>System Safety</t>
  </si>
  <si>
    <t>Remote supervision</t>
  </si>
  <si>
    <t>System supports SDIC via remote monitoring systems.  This corresponds to surround video feed supervision at no worse than 0.5s latency, and 0.6s round trip intervention response time.</t>
  </si>
  <si>
    <t>An operator/driver is not required in the vehicle to complete the autonomous mission (e.g. the operator is not required to perform the SDIC, nor are they required to intervene and take control to handle exception cases and other performance related functions).</t>
  </si>
  <si>
    <t>Unsupervised performance</t>
  </si>
  <si>
    <t>The percentage of cycle time spent in autonomous, as opposed to manual control or waiting for input from the supervisor.</t>
  </si>
  <si>
    <t>100% (Unattended)</t>
  </si>
  <si>
    <t xml:space="preserve">Humans are allowed to work in the viscinity of the vehicle, while the vehicle is executing an autonomous mission.  Vehicle will prevent motion towards humans when separation is &lt; 0.5 m. </t>
  </si>
  <si>
    <t xml:space="preserve">Teleoperation of vehicle motion possible (RA:M4). Data compression, bandwidth and control latency is managed to fit the capacity of internet service in the field, enabling operation at 25 km/h. </t>
  </si>
  <si>
    <t>Ride along driving</t>
  </si>
  <si>
    <t>Vehicle supports passengers while driving autonomously.</t>
  </si>
  <si>
    <t>Speed, up to 25 km/h</t>
  </si>
  <si>
    <t>Dispatch and redirect via xMS API</t>
  </si>
  <si>
    <t>Vehicle receives instruction for the next job through an API to an Equipment Management System (EMS, TOS, WMS), without manual configuratino from a local or remote operator.</t>
  </si>
  <si>
    <t>Hub / Manual</t>
  </si>
  <si>
    <t>Instruction source</t>
  </si>
  <si>
    <t>TOS</t>
  </si>
  <si>
    <t>Production Operations</t>
  </si>
  <si>
    <t xml:space="preserve">Vehicle is performing its service on live production volume, and affecting the customer's production KPIs.  </t>
  </si>
  <si>
    <t>Cust Ctrl Environment</t>
  </si>
  <si>
    <t>Cust Terminal</t>
  </si>
  <si>
    <t>Cust Ctrl Env</t>
  </si>
  <si>
    <t>Cust Prod Env</t>
  </si>
  <si>
    <t>Cust Worksite</t>
  </si>
  <si>
    <t>expand me</t>
  </si>
  <si>
    <t>Traction</t>
  </si>
  <si>
    <t>Ground traction conditions under which the vehicle is capable of safety operating.  Wet conditions include slick conditions up to ~2mm thick.  Freeze conditions mean road is below 0C with tarmac porosity filled with ice but no ice sheet covering the surface.</t>
  </si>
  <si>
    <t>Dry</t>
  </si>
  <si>
    <t>Dry-Wet</t>
  </si>
  <si>
    <t xml:space="preserve">Ground coverage conditions which the vehicle will recognise and decide to avoid/ovetake or traverse. Conditions can be 1) clear,  2) containing voids/potholes deeper than 100 mm and wider than 30 cm diameter, 3) containing voids and coverage with water, snow, oil in patches greater than 1m^2 along the vehicle's path.
For conditions not supported, the vehcle will traverse normally as though the ground is clear.
</t>
  </si>
  <si>
    <t>Clear</t>
  </si>
  <si>
    <t>Clear + Voids</t>
  </si>
  <si>
    <t>Visibility</t>
  </si>
  <si>
    <t>Visiblity conditions under which the vehicle is authorised to run.  For visiblities lower than specified, the autonomy will need to be disabled by an operator.  Visibility may be reduced by rain, fog, smoke, etc.</t>
  </si>
  <si>
    <t xml:space="preserve">Illumination levels under which the vehicle is authorised to run.  For illumination more adverse than specified, the autonomy will need to be disabled by an operator.  </t>
  </si>
  <si>
    <t>On-vehicle mission executor supports the following job types, executing a workflow of multiple movements and interactions to break down the job.</t>
  </si>
  <si>
    <t>Quay-yard transfer, forward only</t>
  </si>
  <si>
    <t xml:space="preserve">Workflow: acknowledge job,  resolve queuing point, rendezvous with STS,  receive confirmation and dropoff goal, approach pinning station, recieve input to advance, queue for CHE, verify container clear, standby.  
Deployments:  CLIC, P-CAL
</t>
  </si>
  <si>
    <t>Quay-yard transfer, forward &amp; reversing</t>
  </si>
  <si>
    <t>Workflow: same as Q-Y transfer forward, except TT must reverse into a bay where the RMG or RTG will pick up the container to stow it in the stacks.</t>
  </si>
  <si>
    <t>Yard-Yard transfer, forward only</t>
  </si>
  <si>
    <t>A simple workflow for hauling containrs betweeen two CHE points.  No pinning stations. No precise positioning for STS rendezvous and negotiation of STS lanes.</t>
  </si>
  <si>
    <t>Interterminal container transfer, forward only</t>
  </si>
  <si>
    <t>Deployments: QTerminals CER</t>
  </si>
  <si>
    <t>Bay-CHE container shunting</t>
  </si>
  <si>
    <t>Deployments:  Qterminals City terminal</t>
  </si>
  <si>
    <t>Dock-dock trailer short haul</t>
  </si>
  <si>
    <t>Deployments:  Vantec</t>
  </si>
  <si>
    <t>Dock-bay trailer shunting</t>
  </si>
  <si>
    <t>Deployments:  Amazon fulfillment centre</t>
  </si>
  <si>
    <t>Ro-Ro ship loading/unloading cycle</t>
  </si>
  <si>
    <t xml:space="preserve">Operating details are automatically logged (snippets) and uploaded for autonomy events and inspection events.  Accumulation and backlog of logs can be reviewed and managed from Hub. </t>
  </si>
  <si>
    <t>Fleet management (shift rotation)</t>
  </si>
  <si>
    <t>Fleet management tools enable continuous service by hot-swapping vehicles in service when a vehicle needs to recharge or experiences a fault.</t>
  </si>
  <si>
    <t>Safety features</t>
  </si>
  <si>
    <t>Avoid collisions</t>
  </si>
  <si>
    <t>Reduce risk of harm of collsions for all in-scope manoeuvres given in-scope environmental conditions:  forward driving, reversing trailer into a parking bay, and bumping trailer into dock.</t>
  </si>
  <si>
    <t>Avoid hazardous regions (shore, ditch)</t>
  </si>
  <si>
    <t>Reduce risk of harm to AV occupants or bystanders as a result of travelling into hazardous areas (submersion, rollover).  Invovles keeping within allowed regions.</t>
  </si>
  <si>
    <t>Prevent motion during interactions</t>
  </si>
  <si>
    <t>Reduce risk of harm to personnel while interacting with the AV or trailer (interlock with dock, CHE interacting with load, personnel attaching suzie lines, using vehicle HMI).</t>
  </si>
  <si>
    <t>Driving Actions</t>
  </si>
  <si>
    <t>Localise in port environment</t>
  </si>
  <si>
    <t>99% localis</t>
  </si>
  <si>
    <t>Navigating unstructured traffic</t>
  </si>
  <si>
    <t>Follow roads and traverse intersections among typical road users, typical road structure, typical clearances, typical turn radii, typical blind spots, typical hazards</t>
  </si>
  <si>
    <t>Negotiate driveline and overtakes</t>
  </si>
  <si>
    <t>Choose a driveline (lateral offset and path) to negotiation through multi-directional traffic, and decide between follow, overtake or change driveline/lane.</t>
  </si>
  <si>
    <t>Forward towing, queuing</t>
  </si>
  <si>
    <t xml:space="preserve">Vehicle is capable of towing a commercial trailer through roadways and around tight corners. Includes trailers with a kingpin hingepoint and a wheelbase between 20 and 50 ft.  </t>
  </si>
  <si>
    <t>Reversing trailer into bay, L_t=30~50ft</t>
  </si>
  <si>
    <t>Vehicle is capable of reversing with and without a commercial trailer into narrow parking spaces (&lt; 0.8 m wider than trailer)</t>
  </si>
  <si>
    <t>Yes, off-cycle</t>
  </si>
  <si>
    <t>Dock engagement (bump)</t>
  </si>
  <si>
    <t>STS rendezvous</t>
  </si>
  <si>
    <t>A method to determine the point the vehicle should reach in order to receive and deliver a load to an STS.  (Point may be communicated from ToS, and or determined online).</t>
  </si>
  <si>
    <t>CHE rendezvous</t>
  </si>
  <si>
    <t>A method to determine the point the vehicle should reach in order to receive and deliver a load to a CHE.</t>
  </si>
  <si>
    <t>CHE clearance verification</t>
  </si>
  <si>
    <t>A method to determine that the CHE and load are clear, permitting the vehicle to move away (via direct comms from CHE/TOS or by ACS vision).  May involve Shield muting.</t>
  </si>
  <si>
    <t>Gatehouse passage/clearance</t>
  </si>
  <si>
    <t>Trailer engagement (relative positioning)</t>
  </si>
  <si>
    <t>Hitching</t>
  </si>
  <si>
    <t>Unhitching</t>
  </si>
  <si>
    <t>Trailer config recognition</t>
  </si>
  <si>
    <t>Vehicle is able to understand (or be instructed with) the config/kinematics of a variety of trailers that fall within the driving capability range, without prescription of a fixed configuration in advance.</t>
  </si>
  <si>
    <t>Trailer clearance verification</t>
  </si>
  <si>
    <t>A method to determine that the trailer is clear and ready to be moved (e.g. no people inside, not possible for other vehicles/personel to board)</t>
  </si>
  <si>
    <t>Spotting/positioning</t>
  </si>
  <si>
    <t xml:space="preserve">Given a waypoint, AV is able to dynamically set a navigational goal within its field of view, factoring in both position and orientation. </t>
  </si>
  <si>
    <t>Inclines &gt; 5%</t>
  </si>
  <si>
    <t>Live load compensation</t>
  </si>
  <si>
    <t>Vehicle control and dynamics are suitable (or are automatically adjusted to compensate) for laden and unladen loads on trailers. Accounts for no trailer, w/ empty bombcart (10t), w/ bombcart + empty 40' (15t), w/ bombcart + full 40' (40t).</t>
  </si>
  <si>
    <r>
      <rPr>
        <rFont val="Arial"/>
        <b/>
        <color theme="1"/>
      </rPr>
      <t>KPI: Local Intervention Rate</t>
    </r>
    <r>
      <rPr>
        <rFont val="Arial"/>
        <b val="0"/>
        <color theme="1"/>
      </rPr>
      <t xml:space="preserve"> (km/LI)</t>
    </r>
  </si>
  <si>
    <t>The avg km between events requiring local input or action from an operator or technician.</t>
  </si>
  <si>
    <r>
      <rPr>
        <rFont val="Arial"/>
        <b/>
        <color theme="1"/>
      </rPr>
      <t xml:space="preserve">KPI:  RO Burden </t>
    </r>
    <r>
      <rPr>
        <rFont val="Arial"/>
        <b val="0"/>
        <color theme="1"/>
      </rPr>
      <t>(hours per day)</t>
    </r>
  </si>
  <si>
    <t>KPI:  Productivity (%)</t>
  </si>
  <si>
    <t>Percentage of time spent in a non blocking or non delayed state.</t>
  </si>
  <si>
    <t>STS blocking time (s/day)</t>
  </si>
  <si>
    <t>CHE blocking time (s/day)</t>
  </si>
  <si>
    <t>Traffic blocking time (s/day)</t>
  </si>
  <si>
    <t xml:space="preserve">  </t>
  </si>
  <si>
    <t>BMW PoC</t>
  </si>
  <si>
    <t>BMW Pilot</t>
  </si>
  <si>
    <t>BMW UK Rollout</t>
  </si>
  <si>
    <t>BMW EU Rollout</t>
  </si>
  <si>
    <t>CLIC Demo</t>
  </si>
  <si>
    <t>CLIC dnata PoC</t>
  </si>
  <si>
    <t>Oxa AV works in this environment, during reduced operation</t>
  </si>
  <si>
    <t>Oxa AV works during normal operation</t>
  </si>
  <si>
    <t>Fleets of Oxa AVs work during normal operation</t>
  </si>
  <si>
    <t>Fleets of Oxa AVs work across different compliance regions</t>
  </si>
  <si>
    <t>Oxa AV operating in the Expo Center</t>
  </si>
  <si>
    <t>Fleet of CLIC AVs working during normal operations on a selected operational workflow</t>
  </si>
  <si>
    <t>October 2025</t>
  </si>
  <si>
    <t>June 2026</t>
  </si>
  <si>
    <t>December 2026</t>
  </si>
  <si>
    <t>2027+</t>
  </si>
  <si>
    <t>November 2025</t>
  </si>
  <si>
    <t>March 2026</t>
  </si>
  <si>
    <t>Speed &gt; 8kph</t>
  </si>
  <si>
    <t>Supervision</t>
  </si>
  <si>
    <t>Safety driver intervention concept is administered via remote monitoring systems</t>
  </si>
  <si>
    <t>Local</t>
  </si>
  <si>
    <t>Remote</t>
  </si>
  <si>
    <t>Unsupervised</t>
  </si>
  <si>
    <t>Limited Routes</t>
  </si>
  <si>
    <t>All Routes</t>
  </si>
  <si>
    <t>[WIP]</t>
  </si>
  <si>
    <t>Production line replenishment (fixed pick up / drop off)</t>
  </si>
  <si>
    <t>Battery replacement workflow</t>
  </si>
  <si>
    <t>Production line replenishment (dynamic pick up / drop off)</t>
  </si>
  <si>
    <t>Fleet Management</t>
  </si>
  <si>
    <t>Hub</t>
  </si>
  <si>
    <t>Hub + BMW ATS</t>
  </si>
  <si>
    <t>BMW ATS</t>
  </si>
  <si>
    <t>dnata fms</t>
  </si>
  <si>
    <t>Architecture / Hosting</t>
  </si>
  <si>
    <t>GCP (not BMW approved)</t>
  </si>
  <si>
    <t>TBC (BMW Approved)</t>
  </si>
  <si>
    <t>GCP</t>
  </si>
  <si>
    <t>Dynamic operating</t>
  </si>
  <si>
    <t xml:space="preserve">Operating details are automatically logged (snippets) and uploaded for autonomy events. </t>
  </si>
  <si>
    <t>Forward towing - trailer trains</t>
  </si>
  <si>
    <t>Vehicle is capable of towing a trailer train (6 carts) through marked driveways and around tight corners.</t>
  </si>
  <si>
    <t>Reversing - without trailer</t>
  </si>
  <si>
    <t>Vehicle is capable of reversing without a trailer</t>
  </si>
  <si>
    <t>Reversing - with trailer</t>
  </si>
  <si>
    <t>Vehicle is capable of reversing with a trailer</t>
  </si>
  <si>
    <t>N/A</t>
  </si>
  <si>
    <t>Roller door interaction</t>
  </si>
  <si>
    <t>Vehicle control and dynamics are automatically adjusted to compensate for laden and unladen loads on trailers.</t>
  </si>
  <si>
    <t xml:space="preserve">Given a waypoint, AV is able to dynamically set a navigational goal within field of view, factoring in both position and orientation. </t>
  </si>
  <si>
    <r>
      <rPr>
        <rFont val="Arial"/>
        <b/>
        <color theme="1"/>
      </rPr>
      <t xml:space="preserve">KPI:  RO Burden </t>
    </r>
    <r>
      <rPr>
        <rFont val="Arial"/>
        <b val="0"/>
        <color theme="1"/>
      </rPr>
      <t>(hours per day)</t>
    </r>
  </si>
  <si>
    <t>KPI: Mission Failure (manual interventions)</t>
  </si>
  <si>
    <t>(5% is what bmw have asked for , we will negotiate this down)</t>
  </si>
  <si>
    <t>&lt;5%</t>
  </si>
  <si>
    <t>&lt;1%</t>
  </si>
  <si>
    <t>&lt;0.5%</t>
  </si>
  <si>
    <t>KPI: Tour time</t>
  </si>
  <si>
    <t xml:space="preserve">Percentage of manual time taken to operate route in autonomy achieved </t>
  </si>
  <si>
    <t xml:space="preserve">Payload data transfter to the digital twin service is automated.  Status and outcome of processed data is queryable by Hub for informed inspection planning. </t>
  </si>
  <si>
    <t>CA500</t>
  </si>
  <si>
    <t>Date</t>
  </si>
  <si>
    <t>T800</t>
  </si>
  <si>
    <t>Terberg</t>
  </si>
  <si>
    <t>Comment</t>
  </si>
  <si>
    <t>Steps</t>
  </si>
  <si>
    <t>Safety Requirements</t>
  </si>
  <si>
    <t>AM: Safe to approach/retreat completed</t>
  </si>
  <si>
    <t>Safety Path/Sheild in product, but outside of the 'Safety Boundary', enbles data gethering for "stand aside"</t>
  </si>
  <si>
    <t>1a</t>
  </si>
  <si>
    <t>AM: Single Channel: PL-B: Incumbent VLC (GSM48) assurance completed</t>
  </si>
  <si>
    <t>Pay the vendor to assure the GSM48, this releases the Oxa to focus on future safety work. Use single channel architecture. "stand aside" to be PL-B.</t>
  </si>
  <si>
    <t>1b</t>
  </si>
  <si>
    <t>AM: Single Channel: PL-B: Incumbent VLC (GSM48) replaced with assured part</t>
  </si>
  <si>
    <t>Replace the GSM48, Oxa team to port the code, VEng to replace GSM48, may trigger EMC re-testing. Use single channel architecture. "stand aside" to be PL-B.</t>
  </si>
  <si>
    <t>Terburg: Dual Channel: PL-D</t>
  </si>
  <si>
    <t>??</t>
  </si>
  <si>
    <t>Multi-channel, model and model-free. "faster with people" to be PL-D.</t>
  </si>
  <si>
    <t>AM/T800: Dual Channel: PL-D</t>
  </si>
  <si>
    <t>AM/T800: Dual Channel Cost Down: PL-D</t>
  </si>
  <si>
    <t>Swimlane</t>
  </si>
  <si>
    <t>Label</t>
  </si>
  <si>
    <t>Configuration</t>
  </si>
  <si>
    <t>Details</t>
  </si>
  <si>
    <t>When</t>
  </si>
  <si>
    <t>Comments</t>
  </si>
  <si>
    <t>Platform</t>
  </si>
  <si>
    <t>Generic</t>
  </si>
  <si>
    <t>Now</t>
  </si>
  <si>
    <t>Terberg-1</t>
  </si>
  <si>
    <t>Terberg (variant agnostic)</t>
  </si>
  <si>
    <t>Terberg-1.1</t>
  </si>
  <si>
    <t>Terberg + Oxa RAD + CE Mark</t>
  </si>
  <si>
    <t>* Slope
  ** max 20 degrees
* Altitude
  ** 0 - 1800m
* Speed
  ** max 25kph
* Environment
  ** No public road
  ** Fenced area
  ** Authorized personnel in proximity only
* Steering rate limits
  ** X deg/s
  ** NOTE: this translate into a lateral safety envelope
* Temp
  ** -20C to 50C
* Humidity
  ** 100% @ 40C</t>
  </si>
  <si>
    <t>Terberg-1.2</t>
  </si>
  <si>
    <t>Terberg-1.2 + Oxa Steering Rate Limiter (SRL) + CE Mark</t>
  </si>
  <si>
    <t>* Steering rate limits (Oxa Steering Rate limits on PL-d rated ECU)
  ** Y deg/s
  ** NOTE: this translate into a lateral safety envelope</t>
  </si>
  <si>
    <t>Terberg-1.3</t>
  </si>
  <si>
    <t>Terberg-1.3 + baseline port + environmental conditions + CE Mark</t>
  </si>
  <si>
    <t>* CFG-ODD-1.1
* CFG-ENV-1.1</t>
  </si>
  <si>
    <t>Next</t>
  </si>
  <si>
    <t>Terberg-1.4</t>
  </si>
  <si>
    <t>Bryn: Terberg-1.4 + baseline port + interlocks with dock signals for safe reversing + CE Mark</t>
  </si>
  <si>
    <t>* buzzer for reversing
* undercarriage radar to scan ground and verify dock is clear of people
* ability for 3rd party to activate an alarm or visual indicator that the AV will react to.</t>
  </si>
  <si>
    <t>T800-1</t>
  </si>
  <si>
    <t>T800 (variant agnostic)</t>
  </si>
  <si>
    <t>Later</t>
  </si>
  <si>
    <t>T800-1.1</t>
  </si>
  <si>
    <t>T800 + Oxa RAD + CE Mark</t>
  </si>
  <si>
    <t>CA500-1</t>
  </si>
  <si>
    <t>CA500 (variant agnostic)</t>
  </si>
  <si>
    <t>CA500-1.1</t>
  </si>
  <si>
    <t>CA500 + Oxa RAD + CE Mark</t>
  </si>
  <si>
    <t>Operational Environment</t>
  </si>
  <si>
    <t>CFG-ODD-1.1</t>
  </si>
  <si>
    <t>Port: baseline</t>
  </si>
  <si>
    <t>* Speed: &lt;=25 kph
* Forward towing of a semi-trailer
* Lanes
  ** Nominal lanes width (+1m - +2.0m buffer)
  ** Queueing lanes width (+0.5m buffer)
  ** Lane change
  ** Lane borrow
* Intersections: 
  ** Accommodate trailers (if needed) without lane exit
  ** T junctions
* Infra:
  ** Pseudo-static container stacks
* Hazards: 
  ** NONE
* Actors + Objects
  ** Static objects
    *** Low objects: &gt;20cm (TBC)
  ** Voids (e.g. potholes)
    *** NONE
  ** VRUs
    *** NONE
  ** Vehicles
    *** Cars
    *** Pickup trucks
    *** Vans
    *** Tractors
    *** Buses
    *** Trucks (non-articulated)
    *** Articulated vehicle
  ** Emergency vehicles
    *** NONE
  ** CHEs
    *** Crane (STS)
    *** Reach Stacker
    *** Mobile Rail Gantry (MRG)
    *** Mobile Tracked Gantry (MTG)
* Incline
  ** &lt;5 degrees
* Traction: 
  ** Dry asphalt
  ** Wet asphalt
* GPS
  ** Available
* Ground coverage:
  ** Clear</t>
  </si>
  <si>
    <t>CFG-ODD-1.2</t>
  </si>
  <si>
    <t>Port: AV-Ped interaction</t>
  </si>
  <si>
    <t>* CFG-ODD-1.1
* Actors + Objects
  ** VRUs
    *** Peds approach + interact with AV
    *** Bicycles</t>
  </si>
  <si>
    <t>CFG-ODD-1.3</t>
  </si>
  <si>
    <t>Port: Movable pinning stations</t>
  </si>
  <si>
    <t>* CFG-ODD-1.1
* Infra
  ** Movable pinning stations with Human-robot-interaction</t>
  </si>
  <si>
    <t>CFG-ODD-1.4</t>
  </si>
  <si>
    <t>Port: GPS degraded/ denied</t>
  </si>
  <si>
    <t>* GPS
  ** Available, but possibly degraded or denied</t>
  </si>
  <si>
    <t>CFG-ODD-2.1</t>
  </si>
  <si>
    <t>Factory: baseline</t>
  </si>
  <si>
    <t>Environmental conditions</t>
  </si>
  <si>
    <t>CFG-ENV-1.1</t>
  </si>
  <si>
    <t>Baseline: fair weather</t>
  </si>
  <si>
    <t>* Ambient Temp: 
  ** Min: 5C
  ** Max: 40C (?)
* Sand/ Dust: 
  ** Visibility: &gt;100m
  ** Precipitation: N/A
  ** Accumulation: N/A
* Illumination: 
  ** Day time
* Rain
  ** Precipitation rate: Moderate (&lt;x mm/hr)
  ** Visibility: &gt;100m visibility
  ** Accumulation: N/A
* Wind: &lt;50kph
* Fog/ smoke: 
  ** Visibility: &gt;100m
* Snow: 
  ** Precipitation: None
  ** Visibility: 100m
  ** Accumulation: N/A
* Ground cover: Dry, Wet</t>
  </si>
  <si>
    <t>CFG-ENV-2.1</t>
  </si>
  <si>
    <t>Temperature: &lt;=55C</t>
  </si>
  <si>
    <t>CFG-ENV-1
* Temp: T &lt; 55C
* NOTE: Terberg is CE marked up to 50C</t>
  </si>
  <si>
    <t>CFG-ENV-3.1</t>
  </si>
  <si>
    <t>Sand: Moderate sandstorm</t>
  </si>
  <si>
    <t>CFG-ENV-2
* Sand: moderate sand storm
  ** Wind: &lt;50kph
  ** Visibility: &gt;100m</t>
  </si>
  <si>
    <t>CFG-ENV-4.1</t>
  </si>
  <si>
    <t>Rain: Heavy</t>
  </si>
  <si>
    <t>CFG-ENV-3
* Rain: Heavy (x mm/hr)</t>
  </si>
  <si>
    <t>CFG-ENV-5.1</t>
  </si>
  <si>
    <t>Illumination: Night time (&gt;12 LUX)</t>
  </si>
  <si>
    <t>* Illumination: 
  ** Night time (&gt;12 LUX)</t>
  </si>
  <si>
    <t>CFG-ENV-5.2</t>
  </si>
  <si>
    <t>Illumination: Dawn / Dusk operations</t>
  </si>
  <si>
    <t>* Illumination: 
  ** Dawn/ dusk operations</t>
  </si>
  <si>
    <t>Cargo</t>
  </si>
  <si>
    <t>CFG-CGO-1.1.1</t>
  </si>
  <si>
    <t>Semi-trailer: Boxcar; Vantec model; variable weight</t>
  </si>
  <si>
    <t>CFG-CGO-1.2.1</t>
  </si>
  <si>
    <t>Semi-trailer: Chassis; City Terminal model; chassis + container (variable weight)</t>
  </si>
  <si>
    <t>CFG-CGO-1.2.2</t>
  </si>
  <si>
    <t>Semi-trailer: Chassis; Jebel Ali model; chassis + container (variable weight)</t>
  </si>
  <si>
    <r>
      <rPr>
        <rFont val="Arial"/>
      </rPr>
      <t xml:space="preserve">Weight: 10-40 tons </t>
    </r>
    <r>
      <rPr>
        <rFont val="Arial"/>
        <color rgb="FF1155CC"/>
        <u/>
      </rPr>
      <t>Representative example</t>
    </r>
  </si>
  <si>
    <t>CFG-CGO-1.3.1</t>
  </si>
  <si>
    <t>Semi-trailer: Boat; Robotraz model; chassis + container (variable weight)</t>
  </si>
  <si>
    <t>CFG-CGO-2.1.1</t>
  </si>
  <si>
    <t>Drawbar trailer: XX model, single, variable weight</t>
  </si>
  <si>
    <t>Weight: X~Y tons</t>
  </si>
  <si>
    <t>CFG-CGO-2.1.2</t>
  </si>
  <si>
    <t>Drawbar trailer: XX model; train (up to 6 trailers); variable weight</t>
  </si>
  <si>
    <t>Product features: Terberg</t>
  </si>
  <si>
    <t>Feature (Noel)</t>
  </si>
  <si>
    <t>Capability swimlane</t>
  </si>
  <si>
    <t>Capabilities</t>
  </si>
  <si>
    <t>Questions</t>
  </si>
  <si>
    <t>ODD constraint - part of env class</t>
  </si>
  <si>
    <r>
      <rPr>
        <rFont val="Arial"/>
        <b/>
        <color theme="1"/>
      </rPr>
      <t xml:space="preserve">Safety Concept </t>
    </r>
    <r>
      <rPr>
        <rFont val="Arial"/>
        <b val="0"/>
        <color theme="1"/>
      </rPr>
      <t>(SDIC or System Safety)</t>
    </r>
  </si>
  <si>
    <t xml:space="preserve">The autonomous mission safety is achieved by a human supervison (SDIC), or by certified system safety.  System safety means the vehicle is driver-out capable from a safety perspective.  (A human in the cap may still be needed for bridging exception cases and operational streamlining) </t>
  </si>
  <si>
    <t>Features: Safety Concept
* Driver-in operations
* Driver-out, tractor only, up to 25kph
* Driver-out, towing, up to 25 kph</t>
  </si>
  <si>
    <t>Safety Concept (SC)</t>
  </si>
  <si>
    <t>SafetyPath: Capability def?</t>
  </si>
  <si>
    <t>Features: Supervision
1. Internal supervisor (SD)
2. External supervisor (line-of-sight)
3. Remote supervisor
4. Remote monitor</t>
  </si>
  <si>
    <t>Supervision (SV)</t>
  </si>
  <si>
    <t>Remote monitoring: Stream situational awareness info to monitoring station with max latency of Xms</t>
  </si>
  <si>
    <t>What are the requirements for the RA station/ interfaces for remote operation? Also, what are the latency requirements, etc.? / Current coverage (WiFi - 5G) and dead zones?</t>
  </si>
  <si>
    <t>Remote intervention: Request a PAUSE or SAFESTATE on demand as intervention</t>
  </si>
  <si>
    <t>What is the remote intervention? Probably PAUSE or SAFESTATE?</t>
  </si>
  <si>
    <t>Remote operation: M4 remote operations (what station?)</t>
  </si>
  <si>
    <t>Do we need the other RA modes?</t>
  </si>
  <si>
    <t>Operational supervision</t>
  </si>
  <si>
    <t>An operator is available nearby or in the vehicle to take over operations when exception cases arise.  The percentage of cycle time spent without...</t>
  </si>
  <si>
    <t>External operation: M4 remote operations (what station?)</t>
  </si>
  <si>
    <t>Does it make sense to have this? This will have to be a condition not only in early phases of development/deploymnet but when interacting with other crewed vehicles ability to make micro-adjustments may be required or vehicle location may have to be changed from the ground.</t>
  </si>
  <si>
    <t>Human-proximal operations
1. No humans
2. Humans in proximity
3. Humans interacting (ie can approach, HMI interaction)</t>
  </si>
  <si>
    <t>Detect/ classify pedestrians (cyclists?), and avoid pedestrians with at least 0.5m buffer.</t>
  </si>
  <si>
    <t xml:space="preserve">What happens if a pedestrian violates this buffer? PAUSE/ SAFESTOP? Request RA? </t>
  </si>
  <si>
    <t>BFGs for driverless?</t>
  </si>
  <si>
    <r>
      <rPr>
        <color rgb="FFFF9900"/>
      </rPr>
      <t xml:space="preserve">RFID / UWB or positioning for workers present? (eg. </t>
    </r>
    <r>
      <rPr>
        <color rgb="FF1155CC"/>
        <u/>
      </rPr>
      <t>https://www.skylabmodule.com/port-personnel-container-asset-uwb-location-tracking-solution/)</t>
    </r>
  </si>
  <si>
    <t>HMI</t>
  </si>
  <si>
    <t>What's the HMI interface?</t>
  </si>
  <si>
    <t xml:space="preserve">How to switch to SAFESTATE? Detect ped? RA? Some remote device? </t>
  </si>
  <si>
    <t xml:space="preserve">Are these always 'expected' (e.g., as part of a mission)? Or requested via RA? </t>
  </si>
  <si>
    <t>BFG for driverless?</t>
  </si>
  <si>
    <t>Part of SDIC</t>
  </si>
  <si>
    <t>Part of Supervision</t>
  </si>
  <si>
    <t>Same as Remote Supervision</t>
  </si>
  <si>
    <t>To refine position/trajectory may have to have RA function to deal with exceptions eg-lane changes or manouvre around broken down vehicles in tight spaces</t>
  </si>
  <si>
    <t>Supported (environmental) conditions</t>
  </si>
  <si>
    <t>CON</t>
  </si>
  <si>
    <t>Class A:
* Traction: nominal
* Ground coverage: clear, small puddles (no standing water)
* Foliage: None
* Precipitation: BLAH
* Illumination: BLAH</t>
  </si>
  <si>
    <t>Nominal</t>
  </si>
  <si>
    <t>Slick</t>
  </si>
  <si>
    <t>Muddy/ snowy</t>
  </si>
  <si>
    <t xml:space="preserve">When the ground is covered with water, snow, oil in patches greater than 1m^2 along the vehicle's path,  will the vehicle be capable of proceeding through these covered patches? </t>
  </si>
  <si>
    <t>Water puddles/ streams</t>
  </si>
  <si>
    <t>Muddy</t>
  </si>
  <si>
    <t>Snow</t>
  </si>
  <si>
    <t>Oil</t>
  </si>
  <si>
    <t>Foliage?</t>
  </si>
  <si>
    <t>Blowing sand / extreme heat / dust storms / occasional extreme rain</t>
  </si>
  <si>
    <t>Fair</t>
  </si>
  <si>
    <t>Rain (light, moderate, heavy)</t>
  </si>
  <si>
    <t>Snow (light, moderate, heavy)</t>
  </si>
  <si>
    <t>Fog (light, moderate, heavy)</t>
  </si>
  <si>
    <t>Day, Twilight, Dark, Deep dark</t>
  </si>
  <si>
    <t>Deployment Environment (and Safety Case)</t>
  </si>
  <si>
    <t>ENV</t>
  </si>
  <si>
    <t>Speed</t>
  </si>
  <si>
    <t>Class A: 
* &lt;25kph
* min Xm lane buffer (relative to tractor + trailer)
* max Ym lane buffer 
* Intersections large enough for trailer to remain inside virtual lanes
* Min separation to static objects
* ...</t>
  </si>
  <si>
    <t>Lane clearance</t>
  </si>
  <si>
    <t>12 Lanes &lt; 30cm clearance Quay side</t>
  </si>
  <si>
    <t>Proximity constraints</t>
  </si>
  <si>
    <t xml:space="preserve">Workflow: acknowledge job,  resolve queuing point, rendezvous with STS,  receive confirmation and dropoff goal, approach pinning station, recieve input to advance, queue for CHE, verify container clear, standby.  </t>
  </si>
  <si>
    <t>Does the TOS/ STS provide the confirmation that the container has been loaded? - Assume yes
How is the STS position (really the interaction location) obtained? From the TOS? Relative navigation? 
How is the dropoff goal received? TOS? - Assume yes
How interactive is the process? From the workflow it seems quite interactive. - Assume personnel confirmation  from RS/RTG operator 
What type of CHE? Reach stacker? - yes and / or RTG
Who verifies that the container has been unloaded? - operator / ground worker
Are there different types of chassis trailers that we need to tow? TBD
What is a pinning station? - where twistlocks are removed or put on containers for vertical stacking</t>
  </si>
  <si>
    <t>P-CAL</t>
  </si>
  <si>
    <t>Reversing into a parking bay? 
Hitching/ Unhitching?</t>
  </si>
  <si>
    <t xml:space="preserve">Which CHEs? - Assume reach stacker but can be also RTG </t>
  </si>
  <si>
    <t>QTerminals CER</t>
  </si>
  <si>
    <t>Qterminals City terminal</t>
  </si>
  <si>
    <t>Vantec - this is key, great customer</t>
  </si>
  <si>
    <t>When is docking required?</t>
  </si>
  <si>
    <t>Amazon fulfillment centra</t>
  </si>
  <si>
    <t>What is this? RoRo - roll on roll off - wheeled cargo (eg cars) as opposed to vertical (ship to shore crane with containers, then horizontal transport - AGVs driving cargo to stacks</t>
  </si>
  <si>
    <t>Route deviation</t>
  </si>
  <si>
    <t>Deltas from TOS defined route and actual (exception reporting) eg changes to load scheduling or unservicable vehicles blocking pre planned path, different loading/unloading stack destination</t>
  </si>
  <si>
    <t>Gaps? - May need to make micro adjustments to offload to other CHE</t>
  </si>
  <si>
    <t>Gaps? Start and end points in mission will change. Tasking may need to be adapted mid mission as well. There are 67 berths at Jebel Ali and multiple container storage routes.</t>
  </si>
  <si>
    <t>Gaps?</t>
  </si>
  <si>
    <t>Gaps? Location / status 2 way comms w TOS</t>
  </si>
  <si>
    <t>Gaps? - this is a 24/7 operation so while charging or stationary need to have the capability to upload multiple vehicles at a time on dynamic schedules</t>
  </si>
  <si>
    <t>1. Tow trailers class X in environment class Y, conditions class Z</t>
  </si>
  <si>
    <t>TOW</t>
  </si>
  <si>
    <t>Tow semi-trailer on prescribed drive lines (known trailer)
* Exemplars
* Path pre-planning</t>
  </si>
  <si>
    <t>Weights of empty and maximally loaded trailer? - Max weight 67,200 lb, Empty weight 3,970-4,850 lb.</t>
  </si>
  <si>
    <t>Tow semi-trailers with variable weights (known geometry)
* Weight est/ compensation
* Precision stopping (multiple approaches)</t>
  </si>
  <si>
    <r>
      <rPr>
        <rFont val="Arial"/>
        <color rgb="FFFF9900"/>
      </rPr>
      <t xml:space="preserve">Known trailer model at Jebel Ali? - Bomb carts are standardized in terms of dimensions / configurations - some examples: </t>
    </r>
    <r>
      <rPr>
        <rFont val="Arial"/>
        <color rgb="FF1155CC"/>
        <u/>
      </rPr>
      <t>https://magnumtrailer.com/terminal-trailers/</t>
    </r>
  </si>
  <si>
    <t>Tow semi-trailers with variable configs (chassis, + empty container, + full container)
* Ego trailer state est
* RA config management (e.g. T800)
* HMI interface(?)</t>
  </si>
  <si>
    <r>
      <rPr>
        <rFont val="Arial"/>
        <color theme="1"/>
      </rPr>
      <t xml:space="preserve">Borrow adjacent lanes through tight intersections
</t>
    </r>
    <r>
      <rPr>
        <rFont val="Arial"/>
        <color rgb="FFFF9900"/>
      </rPr>
      <t>Q: related to exemplars and pre-planning -- combine?</t>
    </r>
  </si>
  <si>
    <t>Interact with STS</t>
  </si>
  <si>
    <r>
      <rPr>
        <rFont val="Arial"/>
        <color theme="1"/>
      </rPr>
      <t xml:space="preserve">Interact with CHE
* Reach stacker + empty handler
* RA confirmation of load/ unloading complete
</t>
    </r>
    <r>
      <rPr>
        <rFont val="Arial"/>
        <color rgb="FFFF9900"/>
      </rPr>
      <t>Q: When do we need to detect completion online? Or integrate with the TOS?</t>
    </r>
  </si>
  <si>
    <r>
      <rPr>
        <rFont val="Arial"/>
        <color theme="1"/>
      </rPr>
      <t xml:space="preserve">Navigate gated intersections
* Simple approach - slow down; transmitter-based trigger; obstacle avoidance 
</t>
    </r>
    <r>
      <rPr>
        <rFont val="Arial"/>
        <color rgb="FFFF9900"/>
      </rPr>
      <t>Q: When do we need to detect gate state?</t>
    </r>
  </si>
  <si>
    <t>Navigate very narrow segments (&lt;30cm clearance)</t>
  </si>
  <si>
    <t>Tow semi-trailer with learned drivelines (?)
* ML-based driving behavior (lane position, interaction, speed)</t>
  </si>
  <si>
    <t>SafetyPath towing capability</t>
  </si>
  <si>
    <t>Perception/ tracking/ prediction gaps for articulated vehicles?</t>
  </si>
  <si>
    <t>Reversing with trailer (into bay)</t>
  </si>
  <si>
    <t>Vehicle is capable of reversing with and without a commercial trailer into parking spaces.</t>
  </si>
  <si>
    <t>1. Reverse trailer class X into a prescribed parking bay (small set) with lateral clearance of xm under conditions class Z.</t>
  </si>
  <si>
    <t>RTB</t>
  </si>
  <si>
    <t>Reverse trailer (known config) into prescribed (numbered) bay
* Map-constrained reversing mano</t>
  </si>
  <si>
    <t>Reverse trailer (variable config, weight) into prescribed (numbered) bay
* Precision speed control/ stopping
* Ego trailer state est for variable config
* Trailer weight est/ compensation</t>
  </si>
  <si>
    <t>Reverse trailer (variable config) into bay with adjacent bays occupied (min 60cm clearance each side)
* Close proximity mano
* Precision lateral control</t>
  </si>
  <si>
    <t>Reverse trailer (variable config) into a larger set of bays
* Free space planning
* Bay selection logic</t>
  </si>
  <si>
    <t xml:space="preserve">SafetyPath functionality? </t>
  </si>
  <si>
    <t>1. Perform an initial approach to a prescribed a dock (small set) with offset Xm in the absence of other actors under conditions class Z.</t>
  </si>
  <si>
    <t>RTD</t>
  </si>
  <si>
    <r>
      <rPr>
        <rFont val="Arial"/>
        <color theme="1"/>
      </rPr>
      <t xml:space="preserve">Reverse trailer (known config) onto a specified dock: INITIAL APPROACH
* Prescribed offset from dock (i.e., either absolute or relative nav task
* Handle close-proximity low-profile guides
</t>
    </r>
    <r>
      <rPr>
        <rFont val="Arial"/>
        <color rgb="FFFF9900"/>
      </rPr>
      <t>Q Map-constrained reversing mano or free space planner?
Q SafetyPath functions?
Q How to handle occlusions?</t>
    </r>
  </si>
  <si>
    <t>When is this required?</t>
  </si>
  <si>
    <r>
      <rPr>
        <rFont val="Arial"/>
        <color theme="1"/>
      </rPr>
      <t xml:space="preserve">Reverse trailer (known config) onto a specified dock: FINAL APPROACH
* Final push until contact with dock (incl detecting contact)
</t>
    </r>
    <r>
      <rPr>
        <rFont val="Arial"/>
        <color rgb="FFFF9900"/>
      </rPr>
      <t>Q: Interaction with trailer active docking system?</t>
    </r>
  </si>
  <si>
    <t>Separate into initial approach and final approach</t>
  </si>
  <si>
    <t>Intial and final approach with variable config trailer</t>
  </si>
  <si>
    <t>SafetyPath functionality</t>
  </si>
  <si>
    <t>1. Rendevous with an STS at an absolute location from the TOS (?) with Task Completion type X
2. Rendevous with an STS at a crane-relative location (?)  with Task Completion type X</t>
  </si>
  <si>
    <t>CHE</t>
  </si>
  <si>
    <t>Interact with STS at a location relative to the crane</t>
  </si>
  <si>
    <t>How is the stopping location specified? TOS? Relative to STS? Assume lane assignment, location and time on station by TOS. Alternate is mission taking by ground personnel in exceptional conditions.</t>
  </si>
  <si>
    <t>Who is responsible for confirming that the loading task is complete? TOS? RA? Online detected? - Most likely manual confirmation which is then logged in TOS</t>
  </si>
  <si>
    <t>How/ when is the goal for the container specified? - There is a TOS load/unload plan</t>
  </si>
  <si>
    <t xml:space="preserve">Switch into SAFESTATE? If so, how switched out? </t>
  </si>
  <si>
    <t>1. Rendevous with a Reach Stacker at an absolute location from the TOS (?) with Task Completion type X
2. Rendevous with an Empty Handler at an absolute location from the TOS (?) with Task Completion type X</t>
  </si>
  <si>
    <t xml:space="preserve">How is the stopping location specified? TOS? Relative to STS? </t>
  </si>
  <si>
    <t xml:space="preserve">How/ when is the rest mission specified? </t>
  </si>
  <si>
    <t>Do we need to switch into/ out of SAFESTATE?</t>
  </si>
  <si>
    <t xml:space="preserve">Do we need to classify these vehicles? Do they require different predictions, interactions, buffers? </t>
  </si>
  <si>
    <t>1. Task completion from Remote Operator
2. Task completion from TOS
3 Detect container separated from chassis for task completion</t>
  </si>
  <si>
    <t>Who's responsible for this? TOS? RA? CHE operator? Detected online?</t>
  </si>
  <si>
    <t>GHI</t>
  </si>
  <si>
    <t xml:space="preserve">How narrow? </t>
  </si>
  <si>
    <t>How are these triggered? Transponder?</t>
  </si>
  <si>
    <t xml:space="preserve">Do we need to detect the explicit state, or can we use regular obstacle avoidance? </t>
  </si>
  <si>
    <t xml:space="preserve">What's the behavior if we stay at the gate? Does it close? What if we stopped while straddling the gate? </t>
  </si>
  <si>
    <t xml:space="preserve">I'm not sure what this is? </t>
  </si>
  <si>
    <t>Hitch a trailer class X with a controllable 5th-wheel under conditions class Z</t>
  </si>
  <si>
    <t>HUH</t>
  </si>
  <si>
    <t>Object-relative navigation and mission task specification
* Known gooseneck height (ie known trailer config)</t>
  </si>
  <si>
    <t>Selective collision checking suppression and SafetyPath suppression</t>
  </si>
  <si>
    <r>
      <rPr>
        <rFont val="Arial"/>
        <color theme="1"/>
      </rPr>
      <t xml:space="preserve">Trailer gooseneck height estimation (more general geometry estimation)
</t>
    </r>
    <r>
      <rPr>
        <rFont val="Arial"/>
        <color rgb="FFFF9900"/>
      </rPr>
      <t>Q: when is this needed?</t>
    </r>
  </si>
  <si>
    <t>Complex mission task specificaiton and sequencing
* BeeHive framework extension (??)
* Task decomposition and sequence design
* Task executors implementation
* Task completion criteria</t>
  </si>
  <si>
    <t>5th wheel control and state estimation
* RA height/ jaw control
* Se height/ jaw control
* State (incl pitch) exposure</t>
  </si>
  <si>
    <t>Same as Hitching</t>
  </si>
  <si>
    <t>Trailer config variability</t>
  </si>
  <si>
    <t>Vehicle is able to understand the config/kinematics of a variety of trailers without prescription in advance and manoevure them.</t>
  </si>
  <si>
    <t>1. Class A-F: semi-trailer, known model (incl geometry), boxcar config, fixed weight
2. Class A-V: semi-trailer, known model (incl geometry), boxcar config, variable weight
3. Class B-C: semi-trailer, known model (incl geometry), chassis only
4. Class B-F: semi-trailer, known model (incl geometry), chassis + empty container
5. Class B-V: semi-trailer, known model (incl geometry), chassis + variable weight container
6. Class C-C: semi-trailer, variable model, chassis only
7. Class C-F: semi-trailer, variable model, chassis + empty container
8. Class C-V: semi-trailer, variable model, chassis + variable weight container
...</t>
  </si>
  <si>
    <t>TRL</t>
  </si>
  <si>
    <t>Captured in Towing and Reversing with a Trailer</t>
  </si>
  <si>
    <t>Same as CHE clearance verification?</t>
  </si>
  <si>
    <t>Not sure what this is?</t>
  </si>
  <si>
    <t>When is this needed? Which platform?</t>
  </si>
  <si>
    <t>Call out specific obstacle classes? E.g. low profile obstacles, or potholes?</t>
  </si>
  <si>
    <t xml:space="preserve">What's the lowest obstacle? 10cm? What's the clearance of the Terberg? </t>
  </si>
  <si>
    <t xml:space="preserve">Do we need to straddle obstacles? </t>
  </si>
  <si>
    <r>
      <rPr>
        <rFont val="Arial"/>
        <b/>
        <color theme="1"/>
      </rPr>
      <t xml:space="preserve">KPI:  RO Burden </t>
    </r>
    <r>
      <rPr>
        <rFont val="Arial"/>
        <b val="0"/>
        <color theme="1"/>
      </rPr>
      <t>(hours per day)</t>
    </r>
  </si>
  <si>
    <t>Percentage of itime spend in a blocking or delayed state.</t>
  </si>
  <si>
    <t>TIC 4.0?</t>
  </si>
  <si>
    <t>Related to data commuications protocols for real time and data model (digital twin) creation</t>
  </si>
  <si>
    <t>Technology Readiness Levels</t>
  </si>
  <si>
    <t>POC</t>
  </si>
  <si>
    <t>TRL1</t>
  </si>
  <si>
    <t>Need identified</t>
  </si>
  <si>
    <t>TRL2</t>
  </si>
  <si>
    <t>Conceptual design</t>
  </si>
  <si>
    <t>TRL3</t>
  </si>
  <si>
    <t>Partial implementation or stand-alone POC</t>
  </si>
  <si>
    <t>Develop</t>
  </si>
  <si>
    <t>TRL4</t>
  </si>
  <si>
    <t>Deployed in Sim (integrated, off-vehicle)</t>
  </si>
  <si>
    <t>TRL5</t>
  </si>
  <si>
    <t>Deployed on Dev Route (Safety Driver)</t>
  </si>
  <si>
    <t>Demo ready (driver in)</t>
  </si>
  <si>
    <t>TRL6</t>
  </si>
  <si>
    <t>Deployed on Dev Route (Driverless)</t>
  </si>
  <si>
    <t>Demo ready (driver out)</t>
  </si>
  <si>
    <t>Deploy</t>
  </si>
  <si>
    <t>TRL7</t>
  </si>
  <si>
    <t>Deployed on Customer Site (SafetyDriver)</t>
  </si>
  <si>
    <t>TRL8</t>
  </si>
  <si>
    <t>Deployed on Customer Site (Driverless, Remote Supervisor)</t>
  </si>
  <si>
    <t>TRL9</t>
  </si>
  <si>
    <t>Deployed on Customer Site (Driverless, Remote Operator)</t>
  </si>
  <si>
    <t>work u</t>
  </si>
  <si>
    <t>Product Feature</t>
  </si>
  <si>
    <t>ODD</t>
  </si>
  <si>
    <t>Environment</t>
  </si>
  <si>
    <t>Trailer</t>
  </si>
  <si>
    <t>C2</t>
  </si>
  <si>
    <t>Start Date</t>
  </si>
  <si>
    <t>TRL 3</t>
  </si>
  <si>
    <t>TRL 6</t>
  </si>
  <si>
    <t>TRL 9</t>
  </si>
  <si>
    <t>Actors</t>
  </si>
  <si>
    <t>PF-ACT-1.1</t>
  </si>
  <si>
    <t>Road vehicles: operate around/ regular interactions (baseline)</t>
  </si>
  <si>
    <t>CFG-ODD-1</t>
  </si>
  <si>
    <t>* Nominal behaviour
* Types
  ** Cars
  ** Pickup trucks</t>
  </si>
  <si>
    <t>CA-ACT-1.1
CA-ENV-1.1</t>
  </si>
  <si>
    <t>PF-ACT-2.1</t>
  </si>
  <si>
    <t>Large vehicles: operate around/ regular interactions (baseline)</t>
  </si>
  <si>
    <t>* Nominal behaviour
* Types:
  ** Tractors
  ** Trucks (non-articulated)
  ** Buses</t>
  </si>
  <si>
    <t>CA-ACT-2.1
CA-ENV-1.1</t>
  </si>
  <si>
    <t>PF-ACT-3.1</t>
  </si>
  <si>
    <t>Motorcycles: operate around/ regular interactions (baseline)</t>
  </si>
  <si>
    <t>* Nominal behaviour</t>
  </si>
  <si>
    <t>CA-ACT-3.1
CA-ENV-1.1</t>
  </si>
  <si>
    <t>PF-ACT-4.1</t>
  </si>
  <si>
    <t>Pedestrian VRUs: operate around/ regular interactions (baseline)</t>
  </si>
  <si>
    <t>CA-ACT-4.1
CA-ENV-1.1</t>
  </si>
  <si>
    <t>PF-ACT-5.1</t>
  </si>
  <si>
    <t>Non-pedestrian VRUs: operate around/ regular interactions (baseline)</t>
  </si>
  <si>
    <t>CA-ACT-5.1
CA-ENV-1.1</t>
  </si>
  <si>
    <t>PF-ACT-6.1</t>
  </si>
  <si>
    <t>Articulated vehicles: operate around/ regular interactions (baseline)</t>
  </si>
  <si>
    <t>CA-ACT-6.1
CA-ENV-1.1</t>
  </si>
  <si>
    <t>PF-ACT-7.1</t>
  </si>
  <si>
    <t>Mobile CHE vehicles: operate around/ regular interactions (baseline)</t>
  </si>
  <si>
    <t>* Nominal behaviour
* Types:
  ** Reach stacker
  ** Empty handler</t>
  </si>
  <si>
    <t>CA-ACT-7.1
CA-ENV-1.1</t>
  </si>
  <si>
    <t>Infrastructure</t>
  </si>
  <si>
    <t>PF-INF-1.1</t>
  </si>
  <si>
    <t>Localise into map: baseline</t>
  </si>
  <si>
    <t>* Camera
* Radar
* Lidar
* GPS available
* Static infrastructure components</t>
  </si>
  <si>
    <t>CA-LOC-1.1</t>
  </si>
  <si>
    <t>PF-INF-1.2</t>
  </si>
  <si>
    <t>Localise into map: pseudo-static environmental features</t>
  </si>
  <si>
    <t>* Container stacks
* Cranes</t>
  </si>
  <si>
    <t>CA-LOC-2.1</t>
  </si>
  <si>
    <t>PF-INF-1.3</t>
  </si>
  <si>
    <t>Localise into map: GPS degraded/ denied</t>
  </si>
  <si>
    <t>CA-LOC-4.1
CA-LOC-4.2</t>
  </si>
  <si>
    <t>PF-INF-1.3.2</t>
  </si>
  <si>
    <t>???: Localise into map: GPS spoofed</t>
  </si>
  <si>
    <t>PF-INF-1.4</t>
  </si>
  <si>
    <t>Localise into map: towing ego trailer</t>
  </si>
  <si>
    <t>CFG-CGO-1</t>
  </si>
  <si>
    <t>CA-LOC-3.1</t>
  </si>
  <si>
    <t>PF-INF-2.1</t>
  </si>
  <si>
    <t>Build map of the environment: baseline</t>
  </si>
  <si>
    <t>* From overhead imagery
* Multi-route
* Multi-lane roads
* Lane types:
  ** Roadway
  ** Bike lane
* T-junction
* Major-minor intersections
* 4-way stops</t>
  </si>
  <si>
    <t>CA-MAP-1.1
CA-MAP-3.1</t>
  </si>
  <si>
    <t>PF-INF-2.2</t>
  </si>
  <si>
    <t>Auto-annotate the lane markings, intersection topology from overhead images</t>
  </si>
  <si>
    <t>PF-INF-3.1</t>
  </si>
  <si>
    <t>Traffic light intersections: baseline</t>
  </si>
  <si>
    <t>CA-INF-1.1
CA-INF-1.2</t>
  </si>
  <si>
    <t>PF-INF-4.1</t>
  </si>
  <si>
    <t>Mapped gated intersections: baseline</t>
  </si>
  <si>
    <t>CA-INF-2.1
CA-INF-2.2 (TBC)</t>
  </si>
  <si>
    <t>PF-INF-5.1</t>
  </si>
  <si>
    <t>Pseudo-static infrastructure: Pinning Stations</t>
  </si>
  <si>
    <t>* Pinning station</t>
  </si>
  <si>
    <t>CA-INF-4.1</t>
  </si>
  <si>
    <t>PF-INF-6.1</t>
  </si>
  <si>
    <t>Surfaces: baseline</t>
  </si>
  <si>
    <t>* Asphalt
  ** Dry
  ** Wet
* Voids
  ** NONE</t>
  </si>
  <si>
    <t>NONE</t>
  </si>
  <si>
    <t>PF-INF-7.1</t>
  </si>
  <si>
    <t>Avoided (ie drive around) static objects: baseline</t>
  </si>
  <si>
    <t>* Low objects
  ** &gt;20cm height
* Street Furniture
  ** Cones &gt; 20cm
  ** Curbs &gt; 10cm
  ** Barriers &gt;10cm</t>
  </si>
  <si>
    <t>CA-STA-1.1</t>
  </si>
  <si>
    <t>PF-INF-8.1</t>
  </si>
  <si>
    <t>Straddled static objects: baseline</t>
  </si>
  <si>
    <t>LPO:  Why would we ever have an ability to avoid objects but not ones that straddle our lane?  It shouldn't be a separate capability, at either the product level, nor the tech level.  That's just setting the bar too low.</t>
  </si>
  <si>
    <t>CA-STA-2.1</t>
  </si>
  <si>
    <t>PF-INF-9.1</t>
  </si>
  <si>
    <t>Inclines: baseline</t>
  </si>
  <si>
    <t>* Inclines
  ** &lt;5 degrees</t>
  </si>
  <si>
    <t>CA-INF-3.1</t>
  </si>
  <si>
    <t>PF-ENV-1.1</t>
  </si>
  <si>
    <t>Ambient Temperature: baseline</t>
  </si>
  <si>
    <t>* Min: 5C
* Max 40C</t>
  </si>
  <si>
    <t>PF-ENV-1.2</t>
  </si>
  <si>
    <t>Ambient Temperature: 55C Max</t>
  </si>
  <si>
    <t>* Max 55C</t>
  </si>
  <si>
    <t>CA-ENV-1.1
CA-ENV-2.1</t>
  </si>
  <si>
    <t>PF-ENV-2.1</t>
  </si>
  <si>
    <t>Precipitation: baseline</t>
  </si>
  <si>
    <t>* Rain
  ** Max: Xmm/hr
* Snow
  ** NONE</t>
  </si>
  <si>
    <t>PF-ENV-3.1</t>
  </si>
  <si>
    <t>Illumination: baseline</t>
  </si>
  <si>
    <t>* Daytime</t>
  </si>
  <si>
    <t>PF-ENV-4.1</t>
  </si>
  <si>
    <t>Visibility: baseline</t>
  </si>
  <si>
    <t>* Rain: &gt;100m
* Fog: &gt;100m
* Sand/ dust: &gt;100m</t>
  </si>
  <si>
    <t>PF-ENV-5.1</t>
  </si>
  <si>
    <t>Accumulation: baseline</t>
  </si>
  <si>
    <t>* Rain
  ** NONE
* Snow
  ** NONE
* Sand
  ** NONE</t>
  </si>
  <si>
    <t>PF-ENV-6.1</t>
  </si>
  <si>
    <t>Ground cover: baseline</t>
  </si>
  <si>
    <t>PF-ENV-7.1</t>
  </si>
  <si>
    <t>Disturbances: baseline</t>
  </si>
  <si>
    <t>* Wind
  ** &lt; X km/h</t>
  </si>
  <si>
    <t>PF-CGO-1.1</t>
  </si>
  <si>
    <t>Trailer type: semi-trailer (baseline)</t>
  </si>
  <si>
    <t>* Semi-trailer type
* Kinematics only (empty trailer)
* Known wheelbase
* Known geometry</t>
  </si>
  <si>
    <t>CA-CGO-1.1
CA-VEH-1.1</t>
  </si>
  <si>
    <t>PF-CGO-1.2</t>
  </si>
  <si>
    <t>Trailer type: drawbar</t>
  </si>
  <si>
    <t>CFG-ODD-2</t>
  </si>
  <si>
    <t>CFG-CGO-2</t>
  </si>
  <si>
    <t>* Drawbar trailer
* Driveline offset compensation (approximate)
* No explicit collision checking or kinematic planning</t>
  </si>
  <si>
    <t>PF-CGO-2.1</t>
  </si>
  <si>
    <t>Trailer load: baseline</t>
  </si>
  <si>
    <t>* Empty trailer</t>
  </si>
  <si>
    <t>CA-VEH-1.1</t>
  </si>
  <si>
    <t>PF-CGO-2.2</t>
  </si>
  <si>
    <t>Trailer load: variable weight</t>
  </si>
  <si>
    <t>* 10 ton - 40 ton</t>
  </si>
  <si>
    <t>CA-CGO-2.1</t>
  </si>
  <si>
    <t>PF-CGO-3.1</t>
  </si>
  <si>
    <t>Trailer configuration: stand-alone, empty, known geometry</t>
  </si>
  <si>
    <t>* Boxcar
* Chassis</t>
  </si>
  <si>
    <t>PF-CGO-3.2</t>
  </si>
  <si>
    <t>Trailer configuration: variable configuration, known geometry</t>
  </si>
  <si>
    <t>* Chassis + container</t>
  </si>
  <si>
    <t>CA-CGO-3.1
CA-CGO-1.2</t>
  </si>
  <si>
    <t>PF-CGO-3.3</t>
  </si>
  <si>
    <t>Trailer configuration: trailer train</t>
  </si>
  <si>
    <t>PF-CGO-4.1</t>
  </si>
  <si>
    <t>Support specific semi-trailers: Vantec trailer</t>
  </si>
  <si>
    <t>* Model XX
* Known geometry</t>
  </si>
  <si>
    <t>PF-CGO-4.2</t>
  </si>
  <si>
    <t>Support specific semi-trailers: City-Terminals trailer</t>
  </si>
  <si>
    <t>CA-CGO-1.2</t>
  </si>
  <si>
    <t>PF-CGO-4.3</t>
  </si>
  <si>
    <t>Support specific semi-trailers: Jebel Ali trailer</t>
  </si>
  <si>
    <t>PF-CGO-4.4</t>
  </si>
  <si>
    <t>Support specific semi-trailers: Robotraz boat trailer</t>
  </si>
  <si>
    <t>PF-CGO-5.1</t>
  </si>
  <si>
    <t>Support specific drawbar trailers: single XX model trailer (BMW)</t>
  </si>
  <si>
    <t>* PF-CGO-1.2
* Single</t>
  </si>
  <si>
    <t>PF-CGO-5.2</t>
  </si>
  <si>
    <t>Support specific drawbar trailers: train of XX model trailer (BMW)</t>
  </si>
  <si>
    <t>* PF-CGO-1.2
* Train of up to 6 trailers</t>
  </si>
  <si>
    <t>PF-SV-1.1</t>
  </si>
  <si>
    <t>Internal Supervision (SDIC)</t>
  </si>
  <si>
    <t>PF-SV-2.1</t>
  </si>
  <si>
    <t>External Supervision (Line-of-Sight)</t>
  </si>
  <si>
    <t>PF-SV-3.1</t>
  </si>
  <si>
    <t>Remote Monitoring: M0</t>
  </si>
  <si>
    <t>CA-SV-1.1</t>
  </si>
  <si>
    <t>PF-SV-4.1</t>
  </si>
  <si>
    <t>Remote Supervision: Remote Intervention</t>
  </si>
  <si>
    <t>CA-SV-2.2</t>
  </si>
  <si>
    <t>PF-SV-5.1</t>
  </si>
  <si>
    <t>Remote Assistance: Remote Driving (M4)</t>
  </si>
  <si>
    <t>CA-SV-5.1
CA-SV-5.2</t>
  </si>
  <si>
    <t>PF-SV-6.1</t>
  </si>
  <si>
    <t>Remote Mission Management (baseline)</t>
  </si>
  <si>
    <t>* E-Stop/ Reset
* Pause/ Resume
* Wait/ Continue
* Enter/ Exit SAFESTOP
* MRM (naive)
* Set trailer configuration</t>
  </si>
  <si>
    <t>CA-SV-2.1
CA-SV-2.2
CA-SV-2.3
CA-SV-2.4
CA-SV-3.1
CA-SV-4.1
CA-SV-6.1</t>
  </si>
  <si>
    <t>PF-SV-7.1</t>
  </si>
  <si>
    <t>Luke: Vehicle supports passenger ride-along (ODD-related? Who is the passenger?)</t>
  </si>
  <si>
    <t>Noel: Something about scaling RA to supporting up to X vehicles  in 2026, 2027?</t>
  </si>
  <si>
    <t>Human-Robot Interactions</t>
  </si>
  <si>
    <t>PF-HRI-1.1</t>
  </si>
  <si>
    <t>Safe Operation: Limit motion towards nearby humans sharing operational space</t>
  </si>
  <si>
    <t>PF-HRI-2.1</t>
  </si>
  <si>
    <t>PF-HRI-3.1</t>
  </si>
  <si>
    <t>External HMI: HMI to continue mission (and switch out of SAFESTATE)</t>
  </si>
  <si>
    <t>Forward Driving</t>
  </si>
  <si>
    <t>PF-FWD-1.1</t>
  </si>
  <si>
    <t>Stay in lane: AV only</t>
  </si>
  <si>
    <t>CA-FWD-1.1
CA-FWD-1.2
CA-FWD-1.3</t>
  </si>
  <si>
    <t>PF-FWD-1.2</t>
  </si>
  <si>
    <t>Stay in lane while adjusting drive line based on the scene: AV only</t>
  </si>
  <si>
    <t>CA-FWD-1.4</t>
  </si>
  <si>
    <t>PF-FWD-1.3</t>
  </si>
  <si>
    <t>Stay in lane: tow a semi-trailer while accounting for trailer kinematics</t>
  </si>
  <si>
    <t>CA-FWD-2.1
CA-FWD-2.2</t>
  </si>
  <si>
    <t>PF-FWD-1.4</t>
  </si>
  <si>
    <t>Stay in lane while adjusting drive line based on the scene: tow a semi-trailer while accounting for trailer kinematics</t>
  </si>
  <si>
    <t>CA-FWD-2.4</t>
  </si>
  <si>
    <t>PF-FWD-2.1</t>
  </si>
  <si>
    <t>Borrow adjacent lane: AV only</t>
  </si>
  <si>
    <t>PF-FWD-2.2</t>
  </si>
  <si>
    <t>Borrow adjacent lane: tow a semi-trailer while accounting for trailer kinematics (including through intersections)</t>
  </si>
  <si>
    <t>CA-FWD-3.1
CA-FWD-3.2</t>
  </si>
  <si>
    <t>PF-FWD-3.1</t>
  </si>
  <si>
    <t>Change lanes: AV, single lane</t>
  </si>
  <si>
    <t>PF-FWD-3.2</t>
  </si>
  <si>
    <t>Change lanes: tow a semi-trailer while accounting for trailer kinematics</t>
  </si>
  <si>
    <t>CA-FWD-4.1</t>
  </si>
  <si>
    <t>PF-FWD-4.1</t>
  </si>
  <si>
    <t>Multi-lane change: AV only</t>
  </si>
  <si>
    <t>CA-FWD-5.1</t>
  </si>
  <si>
    <t>PF-FWD-4.2</t>
  </si>
  <si>
    <t>Multi-lane change: tow a semi-trailer while accounting for trailer kinematics</t>
  </si>
  <si>
    <t>CA-FWD-5.2</t>
  </si>
  <si>
    <t>PF-FWD-5.1</t>
  </si>
  <si>
    <t>Luke: Restrict multi-lane manoeuvres: geo-fenced areas</t>
  </si>
  <si>
    <t>CA-FWD-6.1</t>
  </si>
  <si>
    <t>PF-FWD-5.2</t>
  </si>
  <si>
    <t>Luke: Restrict multi-lane manoeuvres: CHE-relative restrictions</t>
  </si>
  <si>
    <t>CA-FWD-6.2</t>
  </si>
  <si>
    <t>Parking</t>
  </si>
  <si>
    <t>PF-PRK-1.1</t>
  </si>
  <si>
    <t>Head-in parking: AV only</t>
  </si>
  <si>
    <t>?</t>
  </si>
  <si>
    <t>PF-PRK-1.2</t>
  </si>
  <si>
    <t>Head-in parking: tow a semi-trailer while accounting for trailer kinematics</t>
  </si>
  <si>
    <t>PF-REV-2.1</t>
  </si>
  <si>
    <t>Parking bay: reverse a semi-trailer into a named bay (small set)</t>
  </si>
  <si>
    <t>Y</t>
  </si>
  <si>
    <t>CA-REV-2.1
CA-REV-2.2
CA-NAV-1.1
CA-NAV-3.1</t>
  </si>
  <si>
    <t>PF-REV-2.2</t>
  </si>
  <si>
    <t>Parking bay: reverse a semi-trailer into a named bay (large set)</t>
  </si>
  <si>
    <t>CA-REV-3.1
CA-REV-3.2
CA-NAV-1.1
CA-NAV-3.1</t>
  </si>
  <si>
    <t>Docking</t>
  </si>
  <si>
    <t>PF-DCK-1.1</t>
  </si>
  <si>
    <t>Initial approach of a named dock (small set)</t>
  </si>
  <si>
    <t>CA-REV-2.1
CA-REV-2.2
CA-NAV-1.1
CA-NAV-2.1
CA-NAV-3.1
CA-MSN-1.1</t>
  </si>
  <si>
    <t>PF-DCK-1.2</t>
  </si>
  <si>
    <t>Initial approach of a named dock (large set)</t>
  </si>
  <si>
    <t>CA-REV-3.1
CA-REV-3.2
CA-NAV-1.1
CA-NAV-2.1
CA-NAV-3.1
CA-MSN-1.1</t>
  </si>
  <si>
    <t>PF-DCK-2.1</t>
  </si>
  <si>
    <t>Dock at a named dock (small set)</t>
  </si>
  <si>
    <t>PF-DCK-2.2</t>
  </si>
  <si>
    <t>Dock at a named dock (large set)</t>
  </si>
  <si>
    <t>CHE Interactions</t>
  </si>
  <si>
    <t>PF-CHE-1.1</t>
  </si>
  <si>
    <t>Rendevous with a CHE at an a priori mapped location: baseline</t>
  </si>
  <si>
    <t>* FWD only
* Reach Stacker
* Empty Handler</t>
  </si>
  <si>
    <t>CA-SV-2.3
CA-MSN-1.1</t>
  </si>
  <si>
    <t>PF-CHE-1.2</t>
  </si>
  <si>
    <t>Rendevous with a CHE at an a priori mapped location: Gantry or Crane</t>
  </si>
  <si>
    <t>* Mobile Tracked Gantry
* Mobile Rail Gantry
* STS crane</t>
  </si>
  <si>
    <t>PF-CHE-2.1</t>
  </si>
  <si>
    <t>Rendevous with a CHE at an a relative to the CHE: STS crane</t>
  </si>
  <si>
    <t>PF-CHE-3.1</t>
  </si>
  <si>
    <t>Rendevous task completion: baseline</t>
  </si>
  <si>
    <t>* Internal Operator confirmation
* Remote Operator confirmation</t>
  </si>
  <si>
    <t>CA-VEH-2.1
CA-SV-7.1</t>
  </si>
  <si>
    <t>PF-CHE-3.2</t>
  </si>
  <si>
    <t>Rendevous task completion: xMS confirmation</t>
  </si>
  <si>
    <t>Hinching/ Unhitching</t>
  </si>
  <si>
    <t>PF-HCH-1.1</t>
  </si>
  <si>
    <t>Hitch a semi-trailer: controllable 5th wheel</t>
  </si>
  <si>
    <t>CA-REV-1.1
CA-REV-1.2
CA-MSN-1.1
CA-MSN-2.1
CA-CGO-1.3
CA-VEH-1.2</t>
  </si>
  <si>
    <t>PF-HCH-2.1</t>
  </si>
  <si>
    <t>Unhitch a semi-trailer: controllable 5th wheel</t>
  </si>
  <si>
    <t>CA-NAV-2.2
CA-MSN-1.1
CA-MSN-2.1
CA-CGO-1.3
CA-VEH-1.2</t>
  </si>
  <si>
    <t>CE Marking</t>
  </si>
  <si>
    <t>PF-CE-1.1</t>
  </si>
  <si>
    <t>CE: Driver in, supervised operations</t>
  </si>
  <si>
    <t>* Supervised operation
  ** SDIC interfaces is defined by Terberg-1
  ** Protective stops as implemented by Terberg-1
  ** Terberg-1 safety envelope defined by Terberg-1
* Oxa RAD
  ** Incl HW integration compliance with Terberg-1 guidelines
  ** Incl SW integration compliance with Terberg-1 guidelines
* NO additional Oxa SW components</t>
  </si>
  <si>
    <t>CA-CE-1.1
CA-CE-1.2
CA-CE-1.3
CA-CE-1.4
CA-CE-1.5</t>
  </si>
  <si>
    <t>PF-CE-1.2</t>
  </si>
  <si>
    <t>CE: Driver out, supervised operations</t>
  </si>
  <si>
    <t xml:space="preserve">* External operator (VLOS)
  ** Requirements on FORT controller and comms (eg latency, loss of comms), and integration with Terberg-1 HW/ SW (via FORT EPC into Terberg-1 SAFE_STOP)
* Remote operator (bVLOS)
  ** Requirements on RO controller and comms (eg latency, loss of comms), and integration with Terberg-1 HW/ SW (via FORT EPC into Terberg-1 SAFE_STOP)
  ** Comms requirements from AV to RO station (ie keep the teleop system separate from THIS CE marking ie we can then buy or build systems that satisfy these requirements.
</t>
  </si>
  <si>
    <t>CA-CE-2.1
CA-CE-2.2
CA-CE-2.3
CA-CE-2.4</t>
  </si>
  <si>
    <t>PF-CE-1.3</t>
  </si>
  <si>
    <t>CE: Driver out, constrained steering limits</t>
  </si>
  <si>
    <t>* Add Oxa Steering Rate limits on PL-d rated ECU
  ** This will reduce the required lateral clearance, thereby unlocking more operational domains</t>
  </si>
  <si>
    <t>CA-CE-3.1
CA-CE-3.2
CA-CE-3.3
CA-CE-3.4</t>
  </si>
  <si>
    <t>PF-CE-1.4</t>
  </si>
  <si>
    <t>CE: Baseline port ODD and environmental conditions</t>
  </si>
  <si>
    <t>* Add baseline ODD and Environmental Conditions
* NOTE: Mostly SP (vs PP)</t>
  </si>
  <si>
    <t>Fleet management</t>
  </si>
  <si>
    <t>PF-XMS-1.1</t>
  </si>
  <si>
    <t>API: Support XYZ MS at Jebel Ali</t>
  </si>
  <si>
    <t>* Receive/acknowledge/reject/cancel jobs from TOS
* Send vehicle state, diagnostics, alerts to TOS</t>
  </si>
  <si>
    <t>PF-XMS-2.1</t>
  </si>
  <si>
    <t>Request a staging task (baseline)</t>
  </si>
  <si>
    <t>* Stage until released at Map Pt X</t>
  </si>
  <si>
    <t>CA-SV-2.5
CA-MSN-3.2</t>
  </si>
  <si>
    <t>PF-XMS-2.2</t>
  </si>
  <si>
    <t>Request a staging task: Stage until released at location relative to CHE</t>
  </si>
  <si>
    <t>Noel: Should this be rolled into for example PF -CHE-1.1?</t>
  </si>
  <si>
    <t>PF-XMS-3.1</t>
  </si>
  <si>
    <t>Request a CHE interaction task (baseline)</t>
  </si>
  <si>
    <t>* Receive container from CHE at Map Pt X
* Deliver container to CHE at Map Pt X (decouple container from trailer)</t>
  </si>
  <si>
    <t>PF-XMS-3.2</t>
  </si>
  <si>
    <t>Request a CHE Task: CHE-relative interactions</t>
  </si>
  <si>
    <t>* Receive container from CHE at a location relative to the CHE
* Deliver container to CHE at a location relative to the CHE (decouple container from trailer)</t>
  </si>
  <si>
    <t>PF-XMS-4.1</t>
  </si>
  <si>
    <t>Parking Bay Tasking (baseline)</t>
  </si>
  <si>
    <t>* Deliver trailer to Parking Bay X
* Pick up trailer from Parking Bay X</t>
  </si>
  <si>
    <t>PF-XMS-5.1</t>
  </si>
  <si>
    <t>Dock Tasking (baseline)</t>
  </si>
  <si>
    <t>* Pick up trailer from Dock X
* Dock trailer at Dock X and wait
* Drop trailer at Dock X</t>
  </si>
  <si>
    <t>Operations</t>
  </si>
  <si>
    <t>PF-OPS-1.1</t>
  </si>
  <si>
    <t>AV System duty cycle management (baseline)</t>
  </si>
  <si>
    <t>* Service: Automatic service activation / deactivation (based on time, schedule, system status meeting criteria for planned service hours when the AV will automatically commence jobs it is aware of)
* Veh Admin: Remote boot and mode control
* Veh Admin: Automatic autonomy authorisation (based on estops, system health/battery, maintenance record, allowed hours, ODD conditions, scheduled downtime)
* Mission: Automatic retire to home
* Mission: Automatic retire for refueling</t>
  </si>
  <si>
    <t>PF-OPS-2-1</t>
  </si>
  <si>
    <t>Remote Vehicle Management (baseline)</t>
  </si>
  <si>
    <t>* Remote restarting of ACS services and devices
* Remote modification of vehicle config and env config
* Remote software updates
* Remote calibration management
* Performance metric viewer and short term history traces.</t>
  </si>
  <si>
    <t>PF-OPS-3-1</t>
  </si>
  <si>
    <t>Remote Data Management (baseline)</t>
  </si>
  <si>
    <t>* Live telemetry state available and viewable
* Automatic processing of HD data snippets
* Automatic upload management (concurrent, end-of-shift)
* Cloud access to data snippets
* Remote request to record HD Data</t>
  </si>
  <si>
    <t>PF-OPS-4.1</t>
  </si>
  <si>
    <t>Fleet Management (baseline)</t>
  </si>
  <si>
    <t>* Continuous service, while hot-swapping vehicles</t>
  </si>
  <si>
    <t>Vehicle</t>
  </si>
  <si>
    <t>Noel: Something about scaling vehicle builds to support X vehicles in 2026?</t>
  </si>
  <si>
    <t>SL</t>
  </si>
  <si>
    <t>Maj</t>
  </si>
  <si>
    <t>Min</t>
  </si>
  <si>
    <t>Capability</t>
  </si>
  <si>
    <t>Details/ comments</t>
  </si>
  <si>
    <t>Product Features</t>
  </si>
  <si>
    <t>Dependencies</t>
  </si>
  <si>
    <t>Dependents</t>
  </si>
  <si>
    <t>Start date</t>
  </si>
  <si>
    <t>ACT</t>
  </si>
  <si>
    <t>1</t>
  </si>
  <si>
    <t>Noel: Consolidate?</t>
  </si>
  <si>
    <t>01/10/2025</t>
  </si>
  <si>
    <t>01/11/2025</t>
  </si>
  <si>
    <t>01/07/2026</t>
  </si>
  <si>
    <t>2</t>
  </si>
  <si>
    <t>01/04/2026</t>
  </si>
  <si>
    <t>01/10/2026</t>
  </si>
  <si>
    <t>3</t>
  </si>
  <si>
    <t>4</t>
  </si>
  <si>
    <t>01/01/2027</t>
  </si>
  <si>
    <t>5</t>
  </si>
  <si>
    <t>6</t>
  </si>
  <si>
    <t>Articulated vehicles: Detect, classify and track</t>
  </si>
  <si>
    <t>Articulated vehicles: exhibit appropriate yield/ no-yield interactions</t>
  </si>
  <si>
    <t>7</t>
  </si>
  <si>
    <t>Mobile CHE vehicles: Detect, classify and track</t>
  </si>
  <si>
    <t>01/01/2026</t>
  </si>
  <si>
    <t>Mobile CHE vehicles: exhibit appropriate yield/ no-yield interactions</t>
  </si>
  <si>
    <t>Noel: Collect and auto-label real world data (all sensor modalities) for typical actors</t>
  </si>
  <si>
    <t>PF-ACT-1.1
PF-ACT-2.1
PF-ACT-3.1
PF-ACT-4.1
PF-ACT-5.1</t>
  </si>
  <si>
    <t>Noel: Collect and auto-label real world data on Special Purpose actors</t>
  </si>
  <si>
    <t>PF-ACT-6.1
PF-ACT-7.1</t>
  </si>
  <si>
    <t>Noel: Expand the real-world data set in hard-to-access locales</t>
  </si>
  <si>
    <t>PF-ACT-1.1
PF-ACT-2.1
PF-ACT-3.1
PF-ACT-4.1
PF-ACT-5.1
PF-ACT-6.1
PF-ACT-7.1</t>
  </si>
  <si>
    <t>Noel: Generate realistic synthetic camera data for ports</t>
  </si>
  <si>
    <t>Noel: Generate realistic synthetic lidar data for ports</t>
  </si>
  <si>
    <t>Noel: Generate synthetic radar data for ports</t>
  </si>
  <si>
    <t>Noel: Infra to manage data consistently?</t>
  </si>
  <si>
    <t>Noel: Infra to train and evaluate perception models</t>
  </si>
  <si>
    <t>Noel: Infra to train and evaluate ML planner</t>
  </si>
  <si>
    <t>Noel: Generate ML planner data in ports from real-world datasets</t>
  </si>
  <si>
    <t>Noel: Generate synthetic data for ML planner (imitation learning paradigm)</t>
  </si>
  <si>
    <t>Noel: Infra for reinforcement learning for ML planner</t>
  </si>
  <si>
    <t xml:space="preserve">Noel: </t>
  </si>
  <si>
    <t>Perc: Extend actor perception algs to support higher ambient temperatures</t>
  </si>
  <si>
    <t>Break down further?</t>
  </si>
  <si>
    <t>Loc: Extend localisation algs to support higher ambient temperatures</t>
  </si>
  <si>
    <t>Localisation</t>
  </si>
  <si>
    <t>LOC</t>
  </si>
  <si>
    <t>Delta?</t>
  </si>
  <si>
    <t>Localise with pseudo-static container stacks</t>
  </si>
  <si>
    <t>Active work?</t>
  </si>
  <si>
    <t>Localise while ego tows a large, obstructing trailer</t>
  </si>
  <si>
    <t>Is this a problem?</t>
  </si>
  <si>
    <t>Localise in a GPS denied environment</t>
  </si>
  <si>
    <t>Localise in a GPS degraded environment</t>
  </si>
  <si>
    <t>Mapping</t>
  </si>
  <si>
    <t>MAP</t>
  </si>
  <si>
    <t>* Lanes
* Intersections
* Multiple routes
* Reference paths
* Named stops
* Bi-directional lanes</t>
  </si>
  <si>
    <t>Auto-annotate features: lane markings, intersection topology from overhead mapping</t>
  </si>
  <si>
    <t>Localisation map: add localisation experience onto semantic map</t>
  </si>
  <si>
    <t>Infrastructure (ghost town)</t>
  </si>
  <si>
    <t>INF</t>
  </si>
  <si>
    <t>Traffic light detection: City Terminals</t>
  </si>
  <si>
    <t>PF-INF-5.2</t>
  </si>
  <si>
    <t>Traffic light detection: Jebel Ali</t>
  </si>
  <si>
    <t>PF-INF-5.3</t>
  </si>
  <si>
    <t>Gated intersections: baseline</t>
  </si>
  <si>
    <t>* No explicit handling
* Slow down and rely on obstacle avoidance rather than estimating the explicit state of the gate</t>
  </si>
  <si>
    <t>Gated intersections: controlled intersection</t>
  </si>
  <si>
    <t>Necessary?</t>
  </si>
  <si>
    <t>What is the baseline grade at the moment?</t>
  </si>
  <si>
    <t>Placeholder: Pseudo-static infrastructure: Pinning Stations</t>
  </si>
  <si>
    <t>* TBD</t>
  </si>
  <si>
    <t>Static objects</t>
  </si>
  <si>
    <t>STA</t>
  </si>
  <si>
    <t>What is base line?</t>
  </si>
  <si>
    <t>Placeholder: Straddled static objects: baseline</t>
  </si>
  <si>
    <t>* TBD
* When needed?</t>
  </si>
  <si>
    <t>CGO</t>
  </si>
  <si>
    <t>Trailer state: Estimate the ego trailer pose for a known trailer, fixed configuration</t>
  </si>
  <si>
    <t>Trailer state: Estimate the ego trailer pose for a known trailer, variable configuration</t>
  </si>
  <si>
    <t>Trailer state: estimate trailer attached (baseline)</t>
  </si>
  <si>
    <t>* Terberg-1 CAN field</t>
  </si>
  <si>
    <t>PF-HCH-1.1
PF-HCH-2.1</t>
  </si>
  <si>
    <t>Compensate for trailer weight during towing and reversing manoeuvres</t>
  </si>
  <si>
    <t>Multiple trailer configurations: Support multiple known trailers per platform, single trailer per deployment</t>
  </si>
  <si>
    <t>VEH</t>
  </si>
  <si>
    <t>Vehicle Interface: Extend LUT functionality to compensate for vehicle-vehicle differences and load conditions</t>
  </si>
  <si>
    <t>PF-CGO-1.1
PF-CGO-2.1</t>
  </si>
  <si>
    <t>Vehicle Interface: 5th wheel height control task executor</t>
  </si>
  <si>
    <t>HMI: Internal Operator can confirm CHE rendevouz task complete</t>
  </si>
  <si>
    <t>When needed?</t>
  </si>
  <si>
    <t>SV</t>
  </si>
  <si>
    <t>M0 Remote monitoring (&lt;300ms latency) using selective forwarding to N remote operation stations</t>
  </si>
  <si>
    <t>M1 Remote Release: Can recover the AV from an e-stop or MRM</t>
  </si>
  <si>
    <t>M1 Remote Release: HUB can request a task pause, and resume the task</t>
  </si>
  <si>
    <t>M1 Remote Release: HUB can request the AV to enter/ exit SAFESTATE</t>
  </si>
  <si>
    <t>PF-SV-6.1
PF-CHE-1.1</t>
  </si>
  <si>
    <t>M1 Remote Release: HUB can request a stopping MRM, and recover from the MRM</t>
  </si>
  <si>
    <t>M1 Remote Release: HUB can request CONTINUE after mission task WAIT</t>
  </si>
  <si>
    <t xml:space="preserve">M2 Remote Selection: AV presents the RO with a set of discrete actions to select. </t>
  </si>
  <si>
    <t>M3 Remote Guidance: RO provides guidance in the form of a Corridor to unstick the AV, and the AV plans and execute the action while avoiding obstacles</t>
  </si>
  <si>
    <t>M4/M5 Remote Driving / Control: Teleoperation (&lt;300ms latency), selective forwarding, to N remote operation stations (with single-user authorisation)</t>
  </si>
  <si>
    <t>M4/M5 Remote Driving / Control: Low-latency (&lt;200ms) teleoperation to a single, on-site remote operation station (peer-to-peer) and live monitoring to N remote operation states (selective forwarding)</t>
  </si>
  <si>
    <t>HUB can set the trailer configuration (eg attached, number of trailers, etc)</t>
  </si>
  <si>
    <t>Needed?</t>
  </si>
  <si>
    <t>Remote Operator can confirm and signal that the CHE interaction task is complete</t>
  </si>
  <si>
    <t>Forward driving/ towing</t>
  </si>
  <si>
    <t>FWD</t>
  </si>
  <si>
    <t>Traverse a corridor (AV only) while following the reference line</t>
  </si>
  <si>
    <t>Traverse a corridor (AV only) while following a prefered drive line (exemplars)</t>
  </si>
  <si>
    <t>How is this any differnet from CA-FWD-1.1??  Exemplars is just another name for reference lines.</t>
  </si>
  <si>
    <t>Traverse a corridor (AV only) while anticipating lane positioning (path pre-planning)</t>
  </si>
  <si>
    <t>Does this refer to turns (wide/overshoot turns) or selecting driveline for wide bidirectional lanes? Or both?</t>
  </si>
  <si>
    <t>CA-FWD-1.3.2</t>
  </si>
  <si>
    <t>Traverse a corridor (AV only) while anticipating lane positioning (ML free-space planner)</t>
  </si>
  <si>
    <t>Traverse a corridor (AV only) while adjusting lane positioning based on the scene (ML path hints)</t>
  </si>
  <si>
    <t>Tow a trailer while following the reference line</t>
  </si>
  <si>
    <t>Tow a trailer while following a prefered drive line</t>
  </si>
  <si>
    <t>Tow a trailer while adjusting lane positioning based on the scene (ML path hints)</t>
  </si>
  <si>
    <t>Lane borrow: tow a trailer on a multi-lane road</t>
  </si>
  <si>
    <t>This feels imprecise... What's the problem we're solving here?  Do we need to specify situations involving lane borrow? Like partial lane blockage vs overtaking a VRU, etc.?  What about borrowing a lane interval within a junction while completing a turn?</t>
  </si>
  <si>
    <t>Lane borrow: tow a trailer through a tight intersection</t>
  </si>
  <si>
    <t>By tight intersection... we mean, an intersection with a tight hard boundary on the inside corner, such that you need to overshoot to pull a wide sweep?</t>
  </si>
  <si>
    <t>Lane change: tow a trailer on a multi-lane road</t>
  </si>
  <si>
    <t xml:space="preserve">Multi-lane change: AV only. </t>
  </si>
  <si>
    <t>Multi-lane change: tow a trailer on a multi-lane road</t>
  </si>
  <si>
    <t>Multi-lane manoeuvre exlusion zone: remote operator defined</t>
  </si>
  <si>
    <t>Multi-lane manoeuvre exlusion zone: relative to a CHE</t>
  </si>
  <si>
    <t>Reversing</t>
  </si>
  <si>
    <t>REV</t>
  </si>
  <si>
    <t>Reverse the AV: along a corridor define in the map; without proximal objects</t>
  </si>
  <si>
    <t>Reverse the AV: along a corridor define in the map; with proximal objects</t>
  </si>
  <si>
    <t>Reverse a trailer: along a corridor define in the map; without proximal objects</t>
  </si>
  <si>
    <t>PF-PRK-2.2
PF-DCK-1.2</t>
  </si>
  <si>
    <t>Reverse a trailer: along a corridor define in the map; with proximal objects</t>
  </si>
  <si>
    <t>Reverse a trailer: define the corridor and ref path online; without proximal objects</t>
  </si>
  <si>
    <t>Reverse a trailer: define the corridor and ref path online; with proximal objects</t>
  </si>
  <si>
    <t>Navigation</t>
  </si>
  <si>
    <t>NAV</t>
  </si>
  <si>
    <t>Absolute navigation: specify target anywhere in the map (named stop)</t>
  </si>
  <si>
    <t>PF-PRK-2</t>
  </si>
  <si>
    <t>Relative navigation: nav to a point that is relative to an object in the scene: baseline</t>
  </si>
  <si>
    <t xml:space="preserve">* Relative positions in terms of XY offsets based on orientation of lane and object.
* Ego trailer in specified ROI
* QR code in enclosure
</t>
  </si>
  <si>
    <t>PF-DCK-1
PF-DCK-2</t>
  </si>
  <si>
    <t>Relative navigation: nav to a point relative to current pose</t>
  </si>
  <si>
    <t>Ego location: specify a target relative to any point on ego (incl the trailer)</t>
  </si>
  <si>
    <t>PF-PRK-2
PF-DCK-1
PF-DCK-2</t>
  </si>
  <si>
    <t>Mission/ Execution</t>
  </si>
  <si>
    <t>MSN</t>
  </si>
  <si>
    <t>Beehive: Support complex missions that interveave navigation and custom work tasks (baseline)</t>
  </si>
  <si>
    <t>* Sequences
* ...</t>
  </si>
  <si>
    <t>PF-CHE-1.1
PF-HCH-1.1</t>
  </si>
  <si>
    <t>Task executor: 5th wheel height control (incl vehicle interface)</t>
  </si>
  <si>
    <t>Mission task: Can request SAFESTATE via mission task</t>
  </si>
  <si>
    <t>Mission task: Can request WAIT via mission task</t>
  </si>
  <si>
    <t>0</t>
  </si>
  <si>
    <t>HRI: External HMI interface to switch out of SAFESTATE and continue mission</t>
  </si>
  <si>
    <t>PF-ODD-1.3</t>
  </si>
  <si>
    <t>CE</t>
  </si>
  <si>
    <t>CE: Define the operational constraints due to platform configuration</t>
  </si>
  <si>
    <t>PF-ODD-1</t>
  </si>
  <si>
    <t>PF-CGO-1</t>
  </si>
  <si>
    <t>CE: Build EMC evidence</t>
  </si>
  <si>
    <t>CE: Build Oxa RAD HW integration evidence</t>
  </si>
  <si>
    <t>CE: Build Oxa SW integration evidence</t>
  </si>
  <si>
    <t>CE: Compile Technical File</t>
  </si>
  <si>
    <t>CE: FORT Controller and EPC integration</t>
  </si>
  <si>
    <t>PF-CE-2.1</t>
  </si>
  <si>
    <t>CE: RA -&gt; FORT EPC requirements generation and integration</t>
  </si>
  <si>
    <t>CE: AV -&gt; RA comms requirements generation</t>
  </si>
  <si>
    <t>PF-CE-3.1</t>
  </si>
  <si>
    <t>CE: Oxa Steering Rate Limiter (SRL) development and integration</t>
  </si>
  <si>
    <t>CE: Oxa SRL PL-d cerfication</t>
  </si>
  <si>
    <t>PF-CE-4.1</t>
  </si>
  <si>
    <t>Technical Function</t>
  </si>
  <si>
    <t>Perception</t>
  </si>
  <si>
    <t>PRC</t>
  </si>
  <si>
    <t>Reach Stacker Sim2Real Synthetic Data Generation (500k samples)</t>
  </si>
  <si>
    <t>CA-PRC-1.0
CA-CHE-1.0</t>
  </si>
  <si>
    <t>Reach Stacker Object Classification in BEV Fusion (MultiBody)</t>
  </si>
  <si>
    <t>SplineTracker Updated to Track ReachStacker (Account for Multibody Forks)</t>
  </si>
  <si>
    <t>Synthetic Generation of Reach Stacker Scenarios for ML Planner Training</t>
  </si>
  <si>
    <t>Retrain / Deploy ML Planner</t>
  </si>
  <si>
    <t>Simulated Validation on +100 Reach Staker Scenarios with EMT KPIs</t>
  </si>
  <si>
    <t>Reasoning</t>
  </si>
  <si>
    <t>BAR</t>
  </si>
  <si>
    <t>Implement BFGs in Trajectory Solver</t>
  </si>
  <si>
    <t>All</t>
  </si>
  <si>
    <t xml:space="preserve">CA-PRC-1.0
CA-CHE-1.0
CA-ACT-1.1
CA-ACT-2.1
CA-ACT-3.1
CA-ACT-4.1
CA-ACT-5.1
CA-ACT-6.1
CA-ACT-6.2
CA-ACT-7.1
CA-REV-1.2
CA-REV-2.2
</t>
  </si>
  <si>
    <t>Selection Criteria</t>
  </si>
  <si>
    <t>CFG-ENV-2</t>
  </si>
  <si>
    <t>Available Product Features &amp; TRL</t>
  </si>
  <si>
    <t>Available Product Features &amp; Start / End Date Conditioned on TRL</t>
  </si>
  <si>
    <t>Feature</t>
  </si>
  <si>
    <t>Description</t>
  </si>
  <si>
    <t>Needed</t>
  </si>
  <si>
    <t>Start</t>
  </si>
  <si>
    <t>Target</t>
  </si>
  <si>
    <t>TRL Requirement</t>
  </si>
  <si>
    <t>Product Features Needed</t>
  </si>
  <si>
    <t>PF-ODD-1.1</t>
  </si>
  <si>
    <t>6(TRL) - Deployed on Dev Route (SafetyDriver)</t>
  </si>
  <si>
    <t>7(TRL) - Deployed (SafetyDriver)</t>
  </si>
  <si>
    <t>8(TRL) - Deployed on Dev Route (no SafetyDriver)</t>
  </si>
  <si>
    <t>9(TRL) - Deployed (no SafetyDriver)</t>
  </si>
  <si>
    <t>PF-ODD-1.2</t>
  </si>
  <si>
    <t>PF-ODD-2.1</t>
  </si>
  <si>
    <t>PF-TRL-1.1.1</t>
  </si>
  <si>
    <t>PF-TRL-1.2.1</t>
  </si>
  <si>
    <t>PF-TRL-1.2.2</t>
  </si>
  <si>
    <t>PF-TRL-3.1.1</t>
  </si>
  <si>
    <t>PF-TRL-3.1.2</t>
  </si>
  <si>
    <t>PF-SC</t>
  </si>
  <si>
    <t>Safety Concept</t>
  </si>
  <si>
    <t>PF-SC-1.1.1</t>
  </si>
  <si>
    <t>Terberg: Driver-in operations (semi-trailer)</t>
  </si>
  <si>
    <t>PF-SC-1.2.1</t>
  </si>
  <si>
    <t>Terberg: Driver-Out, AV only, FWD</t>
  </si>
  <si>
    <t>PF-SC-1.2.2</t>
  </si>
  <si>
    <t>Terberg: Driver-Out, AV only, REV</t>
  </si>
  <si>
    <t>PF-SC-1.3.1</t>
  </si>
  <si>
    <t>Terberg: Driver-Out; AV + Semi-Trailer; FWD</t>
  </si>
  <si>
    <t>PF-SC-1.3.2</t>
  </si>
  <si>
    <t>Terberg: Driver-Out; AV + Semi-Trailer; REV</t>
  </si>
  <si>
    <t>PF-SV</t>
  </si>
  <si>
    <t>Internal Supervision</t>
  </si>
  <si>
    <t>Remote Monitoring</t>
  </si>
  <si>
    <t>Remote Supervision (including Remote Intervention and Remote Driving)</t>
  </si>
  <si>
    <t>PF-HRI</t>
  </si>
  <si>
    <t>Proximal human: Switch into and out of SAFESTATE when human close to AV</t>
  </si>
  <si>
    <t>PF-TOW</t>
  </si>
  <si>
    <t>Towing</t>
  </si>
  <si>
    <t>PF-TOW-1.1</t>
  </si>
  <si>
    <t>Tow a semi-trailer while accounting for trailer kinematics, dynamics</t>
  </si>
  <si>
    <t>PF-TOW-2.1</t>
  </si>
  <si>
    <t>Borrow adjacent lane while accounting for trailer kinematics, dynamics</t>
  </si>
  <si>
    <t>PF-TOW-3.1</t>
  </si>
  <si>
    <t>Change lanes while accounting for trailer kinematics, dynamics</t>
  </si>
  <si>
    <t>PF-REV</t>
  </si>
  <si>
    <t>PF-REV-1.1</t>
  </si>
  <si>
    <t>Reverse the AV (Terberg)</t>
  </si>
  <si>
    <t>Reverse with a Semi-Trailer: isolated presribed parking bay (small set)</t>
  </si>
  <si>
    <t>PF-REV-3.1</t>
  </si>
  <si>
    <t>Reverse with a Semi-Trailer: crowded prescribed parking bay (large set)</t>
  </si>
  <si>
    <t>PF-REV-4.1</t>
  </si>
  <si>
    <t>PF-DCK</t>
  </si>
  <si>
    <t>Initial approach of a prescribed isolated dock (small set)</t>
  </si>
  <si>
    <t>Initial approach of a prescribed isolated dock (large set)</t>
  </si>
  <si>
    <t>PF-DCK-3.1</t>
  </si>
  <si>
    <t>Final approach of a prescribed crowded dock (small set)</t>
  </si>
  <si>
    <t>PF-DCK-4.1</t>
  </si>
  <si>
    <t>Final approach of a prescribed crowded dock (large set)</t>
  </si>
  <si>
    <t>PF-CHE</t>
  </si>
  <si>
    <t>Rendevous with a mobile Reach Stacker at an a priori mapped location, with an external (RA, TOS) confirmation of task completion</t>
  </si>
  <si>
    <t>Rendevous with a mobile Gantry at an a priori mapped location, with an external (RA, TOS) confirmation of task completion</t>
  </si>
  <si>
    <t>Rendevous with an STS crane at an a priori mapped location, with an external (RA, TOS) confirmation of task completion</t>
  </si>
  <si>
    <t>Rendevous with an STS crane at a location relative to the crane, with an external (RA, TOS) confirmation of task completion</t>
  </si>
  <si>
    <t>PF-HCH</t>
  </si>
  <si>
    <t>Hitch a semi-trailer with a controllable 5th wheel</t>
  </si>
  <si>
    <t>Unhitch a semi-trailer with a controllable 5th wheel</t>
  </si>
  <si>
    <t>TYPE</t>
  </si>
  <si>
    <t>STATUS</t>
  </si>
  <si>
    <t>ISSUE NAME</t>
  </si>
  <si>
    <t>ISSUE DESCRIPTION</t>
  </si>
  <si>
    <t>SIZE</t>
  </si>
  <si>
    <t>START</t>
  </si>
  <si>
    <t>DUE DATE</t>
  </si>
  <si>
    <t>PROGRESS</t>
  </si>
  <si>
    <t>RAISED BY</t>
  </si>
  <si>
    <t>DATE ADDED</t>
  </si>
  <si>
    <t>PROBABILITY
(1 Low - 5 High)</t>
  </si>
  <si>
    <t>SEVERITY
(1 Low - 5 High)</t>
  </si>
  <si>
    <t>RISK LEVEL</t>
  </si>
  <si>
    <t>OWNER</t>
  </si>
  <si>
    <t>MITIGATION ACTION</t>
  </si>
  <si>
    <t>POST MITIGATION
PROBABILITY
(1 Low - 5 High)</t>
  </si>
  <si>
    <t>POST MITIGATION
SEVERITY
(1 Low - 5 High)</t>
  </si>
  <si>
    <t>POST MITIGATION
RISK LEVEL</t>
  </si>
  <si>
    <t>NOTES/UPDATES</t>
  </si>
  <si>
    <t>DOCUMENT LINKS</t>
  </si>
  <si>
    <t>OTHER LINKS</t>
  </si>
  <si>
    <t>SCORE</t>
  </si>
  <si>
    <t>POST MITIGATION SCORE</t>
  </si>
  <si>
    <t>-</t>
  </si>
  <si>
    <t>Short term sales:  72 AHIA licences in 2026</t>
  </si>
  <si>
    <t>Risk that we won't activate 72 licences from HIA systems by Dec 2026</t>
  </si>
  <si>
    <t>Luke Osmokrovic</t>
  </si>
  <si>
    <t xml:space="preserve">ST Sales - </t>
  </si>
  <si>
    <t>Service certified:  Product must be certified to be put into service (revenue generating) by EoQ2 2026</t>
  </si>
  <si>
    <t>Revenue quality:  Quay-Yard transfer pilot operations must be revenue generating by EoQ2 2026</t>
  </si>
  <si>
    <t>Rev Quality - Perception must recognise all road users at range to avoid collision</t>
  </si>
  <si>
    <t>Rev Quality - Localisation will get lost or experience drifts and jumps that put the AV off course too off.</t>
  </si>
  <si>
    <t>Robert Deaves</t>
  </si>
  <si>
    <t>Rev Quality - Process is discontinuous, resulting in deadtime and manual  intervention.</t>
  </si>
  <si>
    <t>Rev Quality - Process exceptions arise from variability in station positions, resulting in deadtime and manual intervention.</t>
  </si>
  <si>
    <t>safe ops - detect and avoid people</t>
  </si>
  <si>
    <t>safe ops - drive in GPS spoofed environments</t>
  </si>
  <si>
    <t>Driverless - prevent autonomy under ODD exits</t>
  </si>
  <si>
    <t>Goal</t>
  </si>
  <si>
    <t>Proposed</t>
  </si>
  <si>
    <t>Issue CE DoC for Oxa ATTs v2, in Q2 2026</t>
  </si>
  <si>
    <t>v2 - unsupervised autonomy, up to 25 km/h, forward and reverse with trailers up to 40t load, among terminal vehicles, stevedores and VRUs, safestate HRI interface, interlocks to verify trailer engaged and clear to move, HW-ready for bumping docks.</t>
  </si>
  <si>
    <t>Issue</t>
  </si>
  <si>
    <t>Confirmed</t>
  </si>
  <si>
    <t>Commission 20 ATT's in Jabel Ali, by EoQ3 2026</t>
  </si>
  <si>
    <t>Quay-Yard Cycle Test Level 1 (QT-T1 Boxbay), by EoQ1</t>
  </si>
  <si>
    <t>- 1x ATT performing simplified cycle in test env (Boxbay), for 1h shifts, supervised.
- Routing are pre-arranged, and clearance signals to proceed after CHE interactions are given by operator confirmation.</t>
  </si>
  <si>
    <t>Quay-Yard Cycle Performance Level 0 (QY-P0), by EoQ1</t>
  </si>
  <si>
    <r>
      <rPr>
        <rFont val="Arial"/>
        <color rgb="FF000000"/>
        <sz val="9.0"/>
      </rPr>
      <t xml:space="preserve">- 1x ATT performing simplified cycle in prod env, for 4h window, supervised. 
- Routing points are fixed, and clearance signals to proceed after CHE interactions are given by operator confirmation.  
- </t>
    </r>
    <r>
      <rPr>
        <rFont val="Arial"/>
        <color rgb="FFFF0000"/>
        <sz val="9.0"/>
      </rPr>
      <t>1.0</t>
    </r>
    <r>
      <rPr>
        <rFont val="Arial"/>
        <color rgb="FF000000"/>
        <sz val="9.0"/>
      </rPr>
      <t xml:space="preserve"> km/LI, </t>
    </r>
    <r>
      <rPr>
        <rFont val="Arial"/>
        <color rgb="FFFF0000"/>
        <sz val="9.0"/>
      </rPr>
      <t>80%</t>
    </r>
    <r>
      <rPr>
        <rFont val="Arial"/>
        <color rgb="FF000000"/>
        <sz val="9.0"/>
      </rPr>
      <t xml:space="preserve"> [s/s] autonomy, </t>
    </r>
    <r>
      <rPr>
        <rFont val="Arial"/>
        <color rgb="FFFF0000"/>
        <sz val="9.0"/>
      </rPr>
      <t>N/A</t>
    </r>
    <r>
      <rPr>
        <rFont val="Arial"/>
        <color rgb="FF000000"/>
        <sz val="9.0"/>
      </rPr>
      <t xml:space="preserve"> punctuality / productivity
</t>
    </r>
    <r>
      <rPr>
        <rFont val="Arial"/>
        <i/>
        <color rgb="FF000000"/>
        <sz val="9.0"/>
      </rPr>
      <t>- This is the min perf level required for limited and controled operation in prod.</t>
    </r>
  </si>
  <si>
    <t>Quay-Yard Cycle Performance Level 1 (QY-P1), by EoQ2</t>
  </si>
  <si>
    <r>
      <rPr>
        <rFont val="Arial"/>
        <color rgb="FF000000"/>
        <sz val="9.0"/>
      </rPr>
      <t xml:space="preserve">- 2x ATTs performing service in prod env, for 8h shifts, supervised
- Routing points are simplified, TOS/FMS comms provide clearance to proceed after CHE interactions.
- </t>
    </r>
    <r>
      <rPr>
        <rFont val="Arial"/>
        <color rgb="FFFF0000"/>
        <sz val="9.0"/>
      </rPr>
      <t>2.0</t>
    </r>
    <r>
      <rPr>
        <rFont val="Arial"/>
        <color rgb="FF000000"/>
        <sz val="9.0"/>
      </rPr>
      <t xml:space="preserve"> km/LI,</t>
    </r>
    <r>
      <rPr>
        <rFont val="Arial"/>
        <color rgb="FFFF0000"/>
        <sz val="9.0"/>
      </rPr>
      <t xml:space="preserve"> 85%</t>
    </r>
    <r>
      <rPr>
        <rFont val="Arial"/>
        <color rgb="FF000000"/>
        <sz val="9.0"/>
      </rPr>
      <t xml:space="preserve"> [s/s] autonomy, &lt; </t>
    </r>
    <r>
      <rPr>
        <rFont val="Arial"/>
        <color rgb="FFFF0000"/>
        <sz val="9.0"/>
      </rPr>
      <t>10 s</t>
    </r>
    <r>
      <rPr>
        <rFont val="Arial"/>
        <color rgb="FF000000"/>
        <sz val="9.0"/>
      </rPr>
      <t xml:space="preserve"> job response, &lt; </t>
    </r>
    <r>
      <rPr>
        <rFont val="Arial"/>
        <color rgb="FFFF0000"/>
        <sz val="9.0"/>
      </rPr>
      <t>10 s</t>
    </r>
    <r>
      <rPr>
        <rFont val="Arial"/>
        <color rgb="FF000000"/>
        <sz val="9.0"/>
      </rPr>
      <t xml:space="preserve"> crane delay, </t>
    </r>
    <r>
      <rPr>
        <rFont val="Arial"/>
        <color rgb="FFFF0000"/>
        <sz val="9.0"/>
      </rPr>
      <t>80%</t>
    </r>
    <r>
      <rPr>
        <rFont val="Arial"/>
        <color rgb="FF000000"/>
        <sz val="9.0"/>
      </rPr>
      <t xml:space="preserve"> TEU/h</t>
    </r>
  </si>
  <si>
    <t>Quay-Yard Cycle Performance Level 2 (QY-P2), by EoQ3</t>
  </si>
  <si>
    <r>
      <rPr>
        <rFont val="Arial"/>
        <color rgb="FF000000"/>
        <sz val="9.0"/>
      </rPr>
      <t xml:space="preserve">- 6x ATTs performing service in prod env, for 8h shifts, supervised
- Routing points are adaptive, TOS/FMS comms provide clearance to proceed after CHE interactions.
- </t>
    </r>
    <r>
      <rPr>
        <rFont val="Arial"/>
        <color rgb="FFFF0000"/>
        <sz val="9.0"/>
      </rPr>
      <t>5.0</t>
    </r>
    <r>
      <rPr>
        <rFont val="Arial"/>
        <color rgb="FF000000"/>
        <sz val="9.0"/>
      </rPr>
      <t xml:space="preserve"> km/LI, </t>
    </r>
    <r>
      <rPr>
        <rFont val="Arial"/>
        <color rgb="FFFF0000"/>
        <sz val="9.0"/>
      </rPr>
      <t>90%</t>
    </r>
    <r>
      <rPr>
        <rFont val="Arial"/>
        <color rgb="FF000000"/>
        <sz val="9.0"/>
      </rPr>
      <t xml:space="preserve"> [s/s] autonomy, </t>
    </r>
    <r>
      <rPr>
        <rFont val="Arial"/>
        <color rgb="FFFF0000"/>
        <sz val="9.0"/>
      </rPr>
      <t>&lt; 5 s</t>
    </r>
    <r>
      <rPr>
        <rFont val="Arial"/>
        <color rgb="FF000000"/>
        <sz val="9.0"/>
      </rPr>
      <t xml:space="preserve"> job response, &lt; </t>
    </r>
    <r>
      <rPr>
        <rFont val="Arial"/>
        <color rgb="FFFF0000"/>
        <sz val="9.0"/>
      </rPr>
      <t>5 s</t>
    </r>
    <r>
      <rPr>
        <rFont val="Arial"/>
        <color rgb="FF000000"/>
        <sz val="9.0"/>
      </rPr>
      <t xml:space="preserve"> crane delay, </t>
    </r>
    <r>
      <rPr>
        <rFont val="Arial"/>
        <color rgb="FFFF0000"/>
        <sz val="9.0"/>
      </rPr>
      <t>90%</t>
    </r>
    <r>
      <rPr>
        <rFont val="Arial"/>
        <color rgb="FF000000"/>
        <sz val="9.0"/>
      </rPr>
      <t xml:space="preserve"> TEU/h</t>
    </r>
  </si>
  <si>
    <r>
      <rPr>
        <rFont val="Arial"/>
        <color theme="1"/>
      </rPr>
      <t xml:space="preserve">Quay-Yard Cycle Performance Level 3 (QY-P3), by </t>
    </r>
    <r>
      <rPr>
        <rFont val="Arial"/>
        <color rgb="FFFF0000"/>
      </rPr>
      <t>EoY 2027</t>
    </r>
  </si>
  <si>
    <r>
      <rPr>
        <rFont val="Arial"/>
        <color rgb="FF000000"/>
        <sz val="9.0"/>
      </rPr>
      <t xml:space="preserve">- 12x ATTs performing service in prod env, for 16h shifts, </t>
    </r>
    <r>
      <rPr>
        <rFont val="Arial"/>
        <b/>
        <i/>
        <color rgb="FF000000"/>
        <sz val="9.0"/>
      </rPr>
      <t>un</t>
    </r>
    <r>
      <rPr>
        <rFont val="Arial"/>
        <color rgb="FF000000"/>
        <sz val="9.0"/>
      </rPr>
      <t xml:space="preserve">supervised
- Routing points are adaptive, TOS/FMS comms provide clearance to proceed after CHE interactions.
- </t>
    </r>
    <r>
      <rPr>
        <rFont val="Arial"/>
        <color rgb="FFFF0000"/>
        <sz val="9.0"/>
      </rPr>
      <t>20.0</t>
    </r>
    <r>
      <rPr>
        <rFont val="Arial"/>
        <color rgb="FF000000"/>
        <sz val="9.0"/>
      </rPr>
      <t xml:space="preserve"> km/LI, </t>
    </r>
    <r>
      <rPr>
        <rFont val="Arial"/>
        <color rgb="FFFF0000"/>
        <sz val="9.0"/>
      </rPr>
      <t>99%</t>
    </r>
    <r>
      <rPr>
        <rFont val="Arial"/>
        <color rgb="FF000000"/>
        <sz val="9.0"/>
      </rPr>
      <t xml:space="preserve"> [s/s] autonomy, </t>
    </r>
    <r>
      <rPr>
        <rFont val="Arial"/>
        <color rgb="FFFF0000"/>
        <sz val="9.0"/>
      </rPr>
      <t>&lt; 2 s</t>
    </r>
    <r>
      <rPr>
        <rFont val="Arial"/>
        <color rgb="FF000000"/>
        <sz val="9.0"/>
      </rPr>
      <t xml:space="preserve"> job response, &lt; </t>
    </r>
    <r>
      <rPr>
        <rFont val="Arial"/>
        <color rgb="FFFF0000"/>
        <sz val="9.0"/>
      </rPr>
      <t>2 s</t>
    </r>
    <r>
      <rPr>
        <rFont val="Arial"/>
        <color rgb="FF000000"/>
        <sz val="9.0"/>
      </rPr>
      <t xml:space="preserve"> crane delay, </t>
    </r>
    <r>
      <rPr>
        <rFont val="Arial"/>
        <color rgb="FFFF0000"/>
        <sz val="9.0"/>
      </rPr>
      <t>90%</t>
    </r>
    <r>
      <rPr>
        <rFont val="Arial"/>
        <color rgb="FF000000"/>
        <sz val="9.0"/>
      </rPr>
      <t xml:space="preserve"> TEU/h</t>
    </r>
  </si>
  <si>
    <t>Open</t>
  </si>
  <si>
    <t>Localisation performance is below QY-P0 (MTTF_loc &lt; 2 km) preventing undisruptive testing in production environment</t>
  </si>
  <si>
    <t xml:space="preserve">Excessive disengagements, (MTTF_loc &lt; 2 km, auto &lt; 80% [s/s] ), due to localisation failure or jumps </t>
  </si>
  <si>
    <t>Activity</t>
  </si>
  <si>
    <t>Planned</t>
  </si>
  <si>
    <t>Investigate pose fusion contamination by outlier localisers</t>
  </si>
  <si>
    <t>Suggested</t>
  </si>
  <si>
    <t>Develop loc masking of stacks, rejecting stack targets above z=3</t>
  </si>
  <si>
    <t>If evidence shows significant loc failures occur in frames/nodes containing many targets on container stacks</t>
  </si>
  <si>
    <t>Improve loc masking of dynamic objects, rejecting moving gantries and port vehicles</t>
  </si>
  <si>
    <t>Develop loc source from BTG RFID system</t>
  </si>
  <si>
    <t>Architect a route and trajectory planning approach that handles pose uncertainty</t>
  </si>
  <si>
    <t>Investigate approach that would continue planning along a route, even when exact position is not known (e.g. incorrect by +/- 20 m).  Does this rely on direct perception of lane/corridor boundaries if we can't be sure of exactly where we are? Should an MRM occur if we can't detect obvious lane/corridor makings?  Should this mode work only when we to follow a lane for a while (for at least the next 20m?) and far from a junction we intent to turn on? To what extent must heading be resolved continuously?</t>
  </si>
  <si>
    <t>Architect a localisation approach that survives on odometry alone</t>
  </si>
  <si>
    <t xml:space="preserve">Propose a localisation/pose fusion scheme which will work when all localisers fail besides odometry.  Analyse how often this scheme would be invoked in a port environment. Justify limits of the feature (e.g, how long, at what speeds, under what levels of uncertainty, should the planner invoke an MRM).  Describe requirements on the scheme that would be necessary prevent/smoothen jumps when the localisers are restored from pure odometry.  Determine whether such a feature would need to rely on road structure detection to calibrate. </t>
  </si>
  <si>
    <t>Deferred</t>
  </si>
  <si>
    <t>Localisation too reliant on spoofable GNSS</t>
  </si>
  <si>
    <t>There are places where only GAIL works, which can't be trusted.  Develop a way to reduce dependency and/or manage failure.</t>
  </si>
  <si>
    <t>Investigate reliance on GAIL and resiliance to GNSS spoofing</t>
  </si>
  <si>
    <t xml:space="preserve">Report the % distance travelled along mapped port routes where all but GNSS get lost. </t>
  </si>
  <si>
    <t>Investigate direct perception of lane/corridor boundaries</t>
  </si>
  <si>
    <t>Implement GNSS continuity monitoring, to detect when erroneous GNSS fix is more severe than a drift or small offset.</t>
  </si>
  <si>
    <t>Perception performance is below QY-P0 (MTTF_per &lt; 1 km) preventing undisruptive testing in production environment.</t>
  </si>
  <si>
    <t>Excessuve disengagements, &gt;1km, due to planning failures and proactive intervention as a result of objects missed or inaccurately estimated (class, size, position, heading, speed). Root causes include,  insufficient training for terminal vehicles, insufficent training for static structures, lack of radar.</t>
  </si>
  <si>
    <t>Implement perception retraining for terminal dynamic objects</t>
  </si>
  <si>
    <t xml:space="preserve">- retraining for terminal tractors, hitched trailers, small vehicles, side loader, reach stacker. </t>
  </si>
  <si>
    <t>Improve percpetion of static barriers, gantries, gatehouses, machinery</t>
  </si>
  <si>
    <t>Improve perception in rainy conditions</t>
  </si>
  <si>
    <t>Improve perception in sandy conditions</t>
  </si>
  <si>
    <t>Perception of objects near trailer insufficient for prudent reversing</t>
  </si>
  <si>
    <t>Improve perception of barriers and walls behind ego trailer (reversing)</t>
  </si>
  <si>
    <t>Perception training data acquisition too slow, below 1000 unique snips per month</t>
  </si>
  <si>
    <t>Coordinate HIA data collection (vehicle + site + schedule) for 10k PGLU snips</t>
  </si>
  <si>
    <t xml:space="preserve">- gather production-grade labelled unique 10s snips in port environments, with coverage of terminal vehicles, ego trailer, sunny conditions.
- Scope of data coverage implies an ATT DCV: perception of ego trailer (un)hitched, and CHE perception near ego during PU/DO interaction. </t>
  </si>
  <si>
    <t>Develop map-free pipeline for logging and processing perception training data</t>
  </si>
  <si>
    <t>Expand APEX uniqueness definition to include presence of certain object types and appearance decorators (occluded, range/proximity, quantity/structure)</t>
  </si>
  <si>
    <t>Develop autoannotation of 3D bboxs and heading for V-L-R datasets</t>
  </si>
  <si>
    <r>
      <rPr>
        <rFont val="Arial"/>
        <color theme="1"/>
      </rPr>
      <t>Planner performance,</t>
    </r>
    <r>
      <rPr>
        <rFont val="Arial"/>
        <i/>
        <color theme="1"/>
      </rPr>
      <t xml:space="preserve"> while following path with good visibility</t>
    </r>
    <r>
      <rPr>
        <rFont val="Arial"/>
        <color theme="1"/>
      </rPr>
      <t>, is below QY-P0 (MTTF_plan &lt; 1 km) preventing undisruptive testing in production environment.</t>
    </r>
  </si>
  <si>
    <t>Implement automated disengagement classifiers based on known issues</t>
  </si>
  <si>
    <r>
      <rPr>
        <color rgb="FF000000"/>
        <sz val="9.0"/>
      </rPr>
      <t xml:space="preserve">Automate the reporting and metrics related to </t>
    </r>
    <r>
      <rPr>
        <color rgb="FF1155CC"/>
        <sz val="9.0"/>
        <u/>
      </rPr>
      <t>intervention causes</t>
    </r>
    <r>
      <rPr>
        <color rgb="FF000000"/>
        <sz val="9.0"/>
      </rPr>
      <t>.</t>
    </r>
  </si>
  <si>
    <t>Resolve FP object blocking path errors</t>
  </si>
  <si>
    <t>Improve solver/controller to minimize creeping, overshooting, weaving</t>
  </si>
  <si>
    <t>Develop payload mass estimation and tiered controller LUTs for worst case traction (wet road ~1m/s2 decel)</t>
  </si>
  <si>
    <t>Develop planner solution that consumes mapped priors/exemplars for fwd/rev, w and w/o trailer</t>
  </si>
  <si>
    <t>How do we measure success??  We want to test for whether the solution is resilient to foreseable variations (with and without trailer) and conditions (e.g. starting exemplar path from a variety of y-offsets and yaw errors and speeds)</t>
  </si>
  <si>
    <t>Configure examplars into test maps</t>
  </si>
  <si>
    <t>- City Terminal route,  P-CAL</t>
  </si>
  <si>
    <t>M</t>
  </si>
  <si>
    <t>Hitch angle estimation, perception based (all trailers)</t>
  </si>
  <si>
    <t>Develop trailer pose estimation method that works for hitch angles between +/-120deg, with bbox face position accuracy of &lt; 0.1m based on rear tire extent in Y and base chassis/bumper extent in X.  Must work for semi-trailers of between 30 and 60 ft long (prioritise bombcarts,  with possibility to extend training to box trailers, skeleton trailers, curtain-side trailers), and works when bombcart is empty, carrying containers (1x FEU, 1x TEU, 2x TEU, variable positioning), and when container is hovering over by 1 ft or more. Pose estimation works when CHE is near and contacting a mounted container.
This is a "Large" size activity because it includes gathering and labelling training data.</t>
  </si>
  <si>
    <t>L</t>
  </si>
  <si>
    <t>Develop reversing solver/controller, given position and orientation objective and exemplar with corridor</t>
  </si>
  <si>
    <t>Develop planner solution that constructs path priors for fwd/rev, w and w/o trailer</t>
  </si>
  <si>
    <t>Develop "exemplar' generation algorithm for straights and turns fwd/rev, w and w/o trailer</t>
  </si>
  <si>
    <t>Algorithm generates exemplar-like paths for discrete actions (left turn, right turn, reverse perpendicular). To be based on trailer geometry,  smoothed centring along mapped corridors, and analytical solution for cornering kinematics</t>
  </si>
  <si>
    <t>Develop planner solution that consumes ML path hints without exemplars, for fwd/rev, w and w/o trailer</t>
  </si>
  <si>
    <t>Develop reversing solver/controller, given position and orientation objective and corridor with path hint</t>
  </si>
  <si>
    <t>- relatively small improvement over the same thing for exemplars</t>
  </si>
  <si>
    <t>Develop path hint ML model for terminal navigation, structured/marked lanes</t>
  </si>
  <si>
    <t>- cover aisles along trailer bays,  junctions of aisles,  quay lanes,  RMG lanes,  entrance way junctions
- needed for CLIC</t>
  </si>
  <si>
    <t>Develop path hint ML model for terminal navigation, unstructured wide lane spaces</t>
  </si>
  <si>
    <t>- cover aisles along trailer bays,  junctions of aisles,  quay lanes,  RMG lanes,  entrance way junctions
- needed for P-CAL, City Terminal</t>
  </si>
  <si>
    <t>XL</t>
  </si>
  <si>
    <t>Develop planner solution that constructs compound motions (forward, gear change, reversing) from a single routing goal</t>
  </si>
  <si>
    <t>Training data volume needed for proficient ML planning is unkonwn</t>
  </si>
  <si>
    <t>Build ML path hint prototype early, show training performance trend, forecast data needed</t>
  </si>
  <si>
    <t>Planner ML training data acquisition too slow, below 1000 unique snips per month</t>
  </si>
  <si>
    <t>Reversing trailer into bay, L_t = 30~50ft</t>
  </si>
  <si>
    <t>Not a drawbar trailer</t>
  </si>
  <si>
    <t>... reversing work already capture above??</t>
  </si>
  <si>
    <t>Reversing trailer into dock, L_t = 30~50ft</t>
  </si>
  <si>
    <t>STS position tracking,  err_x &lt; 25 cm</t>
  </si>
  <si>
    <t>STS position is represented in local scene and Ark tracker, as a persistent body.  Representation when BVLOS TBD.
Remote operator may specify the STS positoin on the map and communicate it to the vehicle, or the vehicle is capable of visually recognising the position of the crane (with or without the help of aruko markers).</t>
  </si>
  <si>
    <t>STS position query from FMS</t>
  </si>
  <si>
    <t>Oxa Hub/Ark queries STS rough position and fine position from TOS/FMS when a QY job is assigned.</t>
  </si>
  <si>
    <t>Proceed when CHE clear, v1 - fixed rendezvous positions</t>
  </si>
  <si>
    <t xml:space="preserve">Confirmation to proceed may be given via button in vehicle cab or in Oxa Hub/ARK.
Confiration opens a junction/box in the map to enable the AV to proceed.
</t>
  </si>
  <si>
    <t xml:space="preserve">Proceed when CHE clear, v2 - dynamic rendezvous position </t>
  </si>
  <si>
    <t>Vehicle proceeds when a clearance signal is given, not when a fixed junction box is opened. Signal comes from button in vehicle cab or on vehicle exterior or in Oxa Hub/ARK</t>
  </si>
  <si>
    <t>Visual detection of container pickup complete (&gt; 1ft clearance by CHE or crane)</t>
  </si>
  <si>
    <t>Visual detection of container dropoff compelte (&gt; 1ft clearance by CHE or crane)</t>
  </si>
  <si>
    <t/>
  </si>
  <si>
    <t>Column 1</t>
  </si>
  <si>
    <t>Column 2</t>
  </si>
  <si>
    <t>Column 3</t>
  </si>
  <si>
    <t>Column 4</t>
  </si>
  <si>
    <t>Column 5</t>
  </si>
  <si>
    <t>Column 6</t>
  </si>
</sst>
</file>

<file path=xl/styles.xml><?xml version="1.0" encoding="utf-8"?>
<styleSheet xmlns="http://schemas.openxmlformats.org/spreadsheetml/2006/main" xmlns:x14ac="http://schemas.microsoft.com/office/spreadsheetml/2009/9/ac" xmlns:mc="http://schemas.openxmlformats.org/markup-compatibility/2006">
  <numFmts count="13">
    <numFmt numFmtId="164" formatCode="mmm yyyy"/>
    <numFmt numFmtId="165" formatCode="mmm d yyyy"/>
    <numFmt numFmtId="166" formatCode="&quot;   &quot;0%"/>
    <numFmt numFmtId="167" formatCode="&quot;   &quot;0"/>
    <numFmt numFmtId="168" formatCode="&quot;   &quot;0.0%"/>
    <numFmt numFmtId="169" formatCode="&quot;   &quot;0.0&quot; km&quot;"/>
    <numFmt numFmtId="170" formatCode="&quot;   &quot;0.0#&quot; h&quot;"/>
    <numFmt numFmtId="171" formatCode="&quot;   &quot;0.0&quot; s&quot;"/>
    <numFmt numFmtId="172" formatCode="dd/MM/yyyy"/>
    <numFmt numFmtId="173" formatCode="mmmm yyyy"/>
    <numFmt numFmtId="174" formatCode="dd/mm/yyyy"/>
    <numFmt numFmtId="175" formatCode="M/d/yyyy"/>
    <numFmt numFmtId="176" formatCode="d&quot;-&quot;mmm&quot;-&quot;yyyy"/>
  </numFmts>
  <fonts count="67">
    <font>
      <sz val="10.0"/>
      <color rgb="FF000000"/>
      <name val="Arial"/>
      <scheme val="minor"/>
    </font>
    <font>
      <sz val="8.0"/>
      <color theme="1"/>
      <name val="Arial"/>
      <scheme val="minor"/>
    </font>
    <font>
      <b/>
      <sz val="12.0"/>
      <color theme="1"/>
      <name val="Arial"/>
      <scheme val="minor"/>
    </font>
    <font>
      <color theme="1"/>
      <name val="Arial"/>
      <scheme val="minor"/>
    </font>
    <font>
      <b/>
      <color theme="1"/>
      <name val="Arial"/>
      <scheme val="minor"/>
    </font>
    <font>
      <sz val="8.0"/>
      <color rgb="FFFF0000"/>
      <name val="Arial"/>
      <scheme val="minor"/>
    </font>
    <font>
      <color rgb="FFFF0000"/>
      <name val="Arial"/>
      <scheme val="minor"/>
    </font>
    <font>
      <i/>
      <color theme="1"/>
      <name val="Arial"/>
      <scheme val="minor"/>
    </font>
    <font>
      <sz val="10.0"/>
      <color theme="1"/>
      <name val="Arial"/>
      <scheme val="minor"/>
    </font>
    <font>
      <sz val="9.0"/>
      <color rgb="FF54565A"/>
      <name val="Poppins"/>
    </font>
    <font>
      <b/>
      <i/>
      <color theme="1"/>
      <name val="Arial"/>
      <scheme val="minor"/>
    </font>
    <font>
      <b/>
      <sz val="16.0"/>
      <color theme="1"/>
      <name val="Arial"/>
      <scheme val="minor"/>
    </font>
    <font>
      <i/>
      <sz val="9.0"/>
      <color theme="1"/>
      <name val="Arial"/>
      <scheme val="minor"/>
    </font>
    <font>
      <i/>
      <color rgb="FFFF0000"/>
      <name val="Arial"/>
      <scheme val="minor"/>
    </font>
    <font>
      <sz val="7.0"/>
      <color rgb="FF666666"/>
      <name val="Poppins"/>
    </font>
    <font>
      <color rgb="FF000000"/>
      <name val="Arial"/>
      <scheme val="minor"/>
    </font>
    <font>
      <b/>
      <color rgb="FF000000"/>
      <name val="Arial"/>
      <scheme val="minor"/>
    </font>
    <font>
      <sz val="8.0"/>
      <color rgb="FF000000"/>
      <name val="Arial"/>
      <scheme val="minor"/>
    </font>
    <font>
      <color rgb="FF000000"/>
      <name val="Roboto"/>
    </font>
    <font>
      <i/>
      <sz val="8.0"/>
      <color theme="1"/>
      <name val="Arial"/>
      <scheme val="minor"/>
    </font>
    <font>
      <b/>
      <color theme="0"/>
      <name val="Arial"/>
      <scheme val="minor"/>
    </font>
    <font>
      <color theme="0"/>
      <name val="Arial"/>
      <scheme val="minor"/>
    </font>
    <font>
      <b/>
      <color rgb="FF434343"/>
      <name val="Arial"/>
    </font>
    <font>
      <color rgb="FF434343"/>
      <name val="Roboto"/>
    </font>
    <font/>
    <font>
      <b/>
      <color rgb="FFFF9900"/>
      <name val="Arial"/>
    </font>
    <font>
      <b/>
      <color rgb="FF434343"/>
      <name val="Roboto"/>
    </font>
    <font>
      <color theme="1"/>
      <name val="Arial"/>
    </font>
    <font>
      <u/>
      <color rgb="FF0000FF"/>
      <name val="Arial"/>
    </font>
    <font>
      <b/>
      <sz val="15.0"/>
      <color theme="1"/>
      <name val="Arial"/>
      <scheme val="minor"/>
    </font>
    <font>
      <b/>
      <sz val="10.0"/>
      <color theme="1"/>
      <name val="Arial"/>
      <scheme val="minor"/>
    </font>
    <font>
      <b/>
      <color theme="1"/>
      <name val="Arial"/>
    </font>
    <font>
      <sz val="8.0"/>
      <color theme="1"/>
      <name val="Arial"/>
    </font>
    <font>
      <color rgb="FFFF9900"/>
      <name val="Arial"/>
      <scheme val="minor"/>
    </font>
    <font>
      <u/>
      <color rgb="FFFF9900"/>
    </font>
    <font>
      <color rgb="FFFF9900"/>
      <name val="Arial"/>
    </font>
    <font>
      <u/>
      <color rgb="FFFF9900"/>
      <name val="Arial"/>
    </font>
    <font>
      <b/>
      <color rgb="FFE06666"/>
      <name val="Arial"/>
    </font>
    <font>
      <b/>
      <color rgb="FFE69138"/>
      <name val="Arial"/>
    </font>
    <font>
      <b/>
      <color rgb="FF6AA84F"/>
      <name val="Arial"/>
    </font>
    <font>
      <b/>
      <sz val="12.0"/>
      <color theme="1"/>
      <name val="Arial"/>
    </font>
    <font>
      <color rgb="FF434343"/>
      <name val="Arial"/>
    </font>
    <font>
      <sz val="8.0"/>
      <color rgb="FF434343"/>
      <name val="Roboto"/>
    </font>
    <font>
      <b/>
      <color rgb="FFFF9900"/>
      <name val="Roboto"/>
    </font>
    <font>
      <b/>
      <color rgb="FF000000"/>
      <name val="Roboto"/>
    </font>
    <font>
      <b/>
      <color rgb="FF000000"/>
      <name val="Arial"/>
    </font>
    <font>
      <sz val="8.0"/>
      <color rgb="FF434343"/>
      <name val="Arial"/>
    </font>
    <font>
      <b/>
      <color theme="1"/>
      <name val="Roboto"/>
    </font>
    <font>
      <color rgb="FFFF9900"/>
      <name val="Roboto"/>
    </font>
    <font>
      <b/>
      <color rgb="FF434343"/>
      <name val="Arial"/>
      <scheme val="minor"/>
    </font>
    <font>
      <sz val="9.0"/>
      <color rgb="FF434343"/>
      <name val="Arial"/>
      <scheme val="minor"/>
    </font>
    <font>
      <color rgb="FF434343"/>
      <name val="Arial"/>
      <scheme val="minor"/>
    </font>
    <font>
      <sz val="9.0"/>
      <color rgb="FF434343"/>
      <name val="Arial"/>
    </font>
    <font>
      <sz val="9.0"/>
      <color theme="1"/>
      <name val="Arial"/>
      <scheme val="minor"/>
    </font>
    <font>
      <b/>
      <color rgb="FFFFFFFF"/>
      <name val="Arial"/>
    </font>
    <font>
      <color rgb="FFFFFFFF"/>
      <name val="Arial"/>
    </font>
    <font>
      <color rgb="FF000000"/>
      <name val="Arial"/>
    </font>
    <font>
      <i/>
      <sz val="10.0"/>
      <color theme="1"/>
      <name val="Arial"/>
      <scheme val="minor"/>
    </font>
    <font>
      <color rgb="FF00FFFF"/>
      <name val="Arial"/>
      <scheme val="minor"/>
    </font>
    <font>
      <sz val="9.0"/>
      <color rgb="FF00FFFF"/>
      <name val="Arial"/>
      <scheme val="minor"/>
    </font>
    <font>
      <u/>
      <color theme="1"/>
      <name val="Arial"/>
      <scheme val="minor"/>
    </font>
    <font>
      <sz val="9.0"/>
      <color rgb="FF000000"/>
      <name val="Arial"/>
      <scheme val="minor"/>
    </font>
    <font>
      <sz val="9.0"/>
      <color rgb="FF000000"/>
      <name val="Roboto"/>
    </font>
    <font>
      <i/>
      <sz val="9.0"/>
      <color rgb="FFFF0000"/>
      <name val="Arial"/>
      <scheme val="minor"/>
    </font>
    <font>
      <b/>
      <color rgb="FF5A3286"/>
      <name val="Roboto"/>
    </font>
    <font>
      <b/>
      <color rgb="FFB10202"/>
      <name val="Roboto"/>
    </font>
    <font>
      <b/>
      <sz val="9.0"/>
      <color theme="1"/>
      <name val="Roboto"/>
    </font>
  </fonts>
  <fills count="17">
    <fill>
      <patternFill patternType="none"/>
    </fill>
    <fill>
      <patternFill patternType="lightGray"/>
    </fill>
    <fill>
      <patternFill patternType="solid">
        <fgColor rgb="FFFF0000"/>
        <bgColor rgb="FFFF0000"/>
      </patternFill>
    </fill>
    <fill>
      <patternFill patternType="solid">
        <fgColor rgb="FFC9DAF8"/>
        <bgColor rgb="FFC9DAF8"/>
      </patternFill>
    </fill>
    <fill>
      <patternFill patternType="solid">
        <fgColor rgb="FFFCE5CD"/>
        <bgColor rgb="FFFCE5CD"/>
      </patternFill>
    </fill>
    <fill>
      <patternFill patternType="solid">
        <fgColor rgb="FFD9EAD3"/>
        <bgColor rgb="FFD9EAD3"/>
      </patternFill>
    </fill>
    <fill>
      <patternFill patternType="solid">
        <fgColor rgb="FFEFEFEF"/>
        <bgColor rgb="FFEFEFEF"/>
      </patternFill>
    </fill>
    <fill>
      <patternFill patternType="solid">
        <fgColor rgb="FFFFFF00"/>
        <bgColor rgb="FFFFFF00"/>
      </patternFill>
    </fill>
    <fill>
      <patternFill patternType="solid">
        <fgColor rgb="FFCCCCCC"/>
        <bgColor rgb="FFCCCCCC"/>
      </patternFill>
    </fill>
    <fill>
      <patternFill patternType="solid">
        <fgColor rgb="FF3C78D8"/>
        <bgColor rgb="FF3C78D8"/>
      </patternFill>
    </fill>
    <fill>
      <patternFill patternType="solid">
        <fgColor theme="0"/>
        <bgColor theme="0"/>
      </patternFill>
    </fill>
    <fill>
      <patternFill patternType="solid">
        <fgColor rgb="FFFFFFFF"/>
        <bgColor rgb="FFFFFFFF"/>
      </patternFill>
    </fill>
    <fill>
      <patternFill patternType="solid">
        <fgColor rgb="FFF6F8F9"/>
        <bgColor rgb="FFF6F8F9"/>
      </patternFill>
    </fill>
    <fill>
      <patternFill patternType="solid">
        <fgColor rgb="FF999999"/>
        <bgColor rgb="FF999999"/>
      </patternFill>
    </fill>
    <fill>
      <patternFill patternType="solid">
        <fgColor rgb="FF000000"/>
        <bgColor rgb="FF000000"/>
      </patternFill>
    </fill>
    <fill>
      <patternFill patternType="solid">
        <fgColor rgb="FF666666"/>
        <bgColor rgb="FF666666"/>
      </patternFill>
    </fill>
    <fill>
      <patternFill patternType="solid">
        <fgColor rgb="FFF5ECF5"/>
        <bgColor rgb="FFF5ECF5"/>
      </patternFill>
    </fill>
  </fills>
  <borders count="42">
    <border/>
    <border>
      <right style="thick">
        <color rgb="FF000000"/>
      </right>
      <bottom style="thick">
        <color rgb="FF000000"/>
      </bottom>
    </border>
    <border>
      <bottom style="thick">
        <color rgb="FF000000"/>
      </bottom>
    </border>
    <border>
      <right style="thick">
        <color rgb="FF000000"/>
      </right>
    </border>
    <border>
      <right style="thick">
        <color rgb="FF000000"/>
      </right>
      <top style="thick">
        <color rgb="FF000000"/>
      </top>
    </border>
    <border>
      <right style="thin">
        <color rgb="FFD9DBDC"/>
      </right>
      <top style="thick">
        <color rgb="FF000000"/>
      </top>
      <bottom style="thin">
        <color rgb="FFD9DBDC"/>
      </bottom>
    </border>
    <border>
      <left style="thin">
        <color rgb="FFD9DBDC"/>
      </left>
      <right style="thin">
        <color rgb="FFD9DBDC"/>
      </right>
      <top style="thick">
        <color rgb="FF000000"/>
      </top>
      <bottom style="thin">
        <color rgb="FFD9DBDC"/>
      </bottom>
    </border>
    <border>
      <left style="thin">
        <color rgb="FFD9DBDC"/>
      </left>
      <top style="thick">
        <color rgb="FF000000"/>
      </top>
      <bottom style="thin">
        <color rgb="FFD9DBDC"/>
      </bottom>
    </border>
    <border>
      <right style="thin">
        <color rgb="FFD9DBDC"/>
      </right>
      <top style="thin">
        <color rgb="FFD9DBDC"/>
      </top>
      <bottom style="thin">
        <color rgb="FFD9DBDC"/>
      </bottom>
    </border>
    <border>
      <left style="thin">
        <color rgb="FFD9DBDC"/>
      </left>
      <right style="thin">
        <color rgb="FFD9DBDC"/>
      </right>
      <top style="thin">
        <color rgb="FFD9DBDC"/>
      </top>
      <bottom style="thin">
        <color rgb="FFD9DBDC"/>
      </bottom>
    </border>
    <border>
      <left style="thin">
        <color rgb="FFD9DBDC"/>
      </left>
      <top style="thin">
        <color rgb="FFD9DBDC"/>
      </top>
      <bottom style="thin">
        <color rgb="FFD9DBDC"/>
      </bottom>
    </border>
    <border>
      <right style="thin">
        <color rgb="FFD9DBDC"/>
      </right>
      <top style="thin">
        <color rgb="FFD9DBDC"/>
      </top>
      <bottom style="thick">
        <color rgb="FF000000"/>
      </bottom>
    </border>
    <border>
      <left style="thin">
        <color rgb="FFD9DBDC"/>
      </left>
      <right style="thin">
        <color rgb="FFD9DBDC"/>
      </right>
      <top style="thin">
        <color rgb="FFD9DBDC"/>
      </top>
      <bottom style="thick">
        <color rgb="FF000000"/>
      </bottom>
    </border>
    <border>
      <left style="thin">
        <color rgb="FFD9DBDC"/>
      </left>
      <top style="thin">
        <color rgb="FFD9DBDC"/>
      </top>
      <bottom style="thick">
        <color rgb="FF000000"/>
      </bottom>
    </border>
    <border>
      <right style="thin">
        <color rgb="FFD9DBDC"/>
      </right>
      <bottom style="thin">
        <color rgb="FFD9DBDC"/>
      </bottom>
    </border>
    <border>
      <left style="thin">
        <color rgb="FFD9DBDC"/>
      </left>
      <right style="thin">
        <color rgb="FFD9DBDC"/>
      </right>
      <bottom style="thin">
        <color rgb="FFD9DBDC"/>
      </bottom>
    </border>
    <border>
      <left style="thin">
        <color rgb="FFD9DBDC"/>
      </left>
      <bottom style="thin">
        <color rgb="FFD9DBDC"/>
      </bottom>
    </border>
    <border>
      <right style="thin">
        <color rgb="FFD9DBDC"/>
      </right>
      <top style="thin">
        <color rgb="FFD9DBDC"/>
      </top>
    </border>
    <border>
      <left style="thin">
        <color rgb="FFD9DBDC"/>
      </left>
      <right style="thin">
        <color rgb="FFD9DBDC"/>
      </right>
      <top style="thin">
        <color rgb="FFD9DBDC"/>
      </top>
    </border>
    <border>
      <left style="thin">
        <color rgb="FFD9DBDC"/>
      </left>
      <top style="thin">
        <color rgb="FFD9DBDC"/>
      </top>
    </border>
    <border>
      <bottom style="medium">
        <color rgb="FF000000"/>
      </bottom>
    </border>
    <border>
      <right style="thick">
        <color rgb="FF000000"/>
      </right>
      <top style="medium">
        <color rgb="FF000000"/>
      </top>
    </border>
    <border>
      <right style="thin">
        <color rgb="FFD9DBDC"/>
      </right>
      <top style="medium">
        <color rgb="FF000000"/>
      </top>
      <bottom style="thin">
        <color rgb="FFD9DBDC"/>
      </bottom>
    </border>
    <border>
      <left style="thin">
        <color rgb="FFD9DBDC"/>
      </left>
      <right style="thin">
        <color rgb="FFD9DBDC"/>
      </right>
      <top style="medium">
        <color rgb="FF000000"/>
      </top>
      <bottom style="thin">
        <color rgb="FFD9DBDC"/>
      </bottom>
    </border>
    <border>
      <left style="thin">
        <color rgb="FFD9DBDC"/>
      </left>
      <top style="medium">
        <color rgb="FF000000"/>
      </top>
      <bottom style="thin">
        <color rgb="FFD9DBDC"/>
      </bottom>
    </border>
    <border>
      <top style="medium">
        <color rgb="FF000000"/>
      </top>
    </border>
    <border>
      <left style="thin">
        <color rgb="FFD9DBDC"/>
      </left>
      <right style="thin">
        <color rgb="FFD9DBDC"/>
      </right>
      <top style="medium">
        <color rgb="FF000000"/>
      </top>
    </border>
    <border>
      <left style="thin">
        <color rgb="FFD9DBDC"/>
      </left>
      <top style="medium">
        <color rgb="FF000000"/>
      </top>
    </border>
    <border>
      <left style="thin">
        <color rgb="FFD9DBDC"/>
      </left>
      <right style="thin">
        <color rgb="FFD9DBDC"/>
      </right>
    </border>
    <border>
      <left style="thin">
        <color rgb="FFD9DBDC"/>
      </left>
    </border>
    <border>
      <right style="thin">
        <color rgb="FFD9DBDC"/>
      </right>
    </border>
    <border>
      <right style="thick">
        <color rgb="FF000000"/>
      </right>
      <bottom style="medium">
        <color rgb="FF000000"/>
      </bottom>
    </border>
    <border>
      <right style="thin">
        <color rgb="FFD9DBDC"/>
      </right>
      <top style="thin">
        <color rgb="FFD9DBDC"/>
      </top>
      <bottom style="medium">
        <color rgb="FF000000"/>
      </bottom>
    </border>
    <border>
      <left style="thin">
        <color rgb="FFD9DBDC"/>
      </left>
      <right style="thin">
        <color rgb="FFD9DBDC"/>
      </right>
      <top style="thin">
        <color rgb="FFD9DBDC"/>
      </top>
      <bottom style="medium">
        <color rgb="FF000000"/>
      </bottom>
    </border>
    <border>
      <left style="thin">
        <color rgb="FFD9DBDC"/>
      </left>
      <top style="thin">
        <color rgb="FFD9DBDC"/>
      </top>
      <bottom style="medium">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442F65"/>
      </left>
      <right style="thin">
        <color rgb="FFD9D9D9"/>
      </right>
      <top style="thin">
        <color rgb="FFD9D9D9"/>
      </top>
      <bottom style="thin">
        <color rgb="FFD9D9D9"/>
      </bottom>
    </border>
    <border>
      <left style="thin">
        <color rgb="FFD9D9D9"/>
      </left>
      <right style="thin">
        <color rgb="FFD9D9D9"/>
      </right>
      <top style="thin">
        <color rgb="FFD9D9D9"/>
      </top>
      <bottom style="thin">
        <color rgb="FFD9D9D9"/>
      </bottom>
    </border>
    <border>
      <left style="thin">
        <color rgb="FFD9D9D9"/>
      </left>
      <right style="thin">
        <color rgb="FF442F65"/>
      </right>
      <top style="thin">
        <color rgb="FFD9D9D9"/>
      </top>
      <bottom style="thin">
        <color rgb="FFD9D9D9"/>
      </bottom>
    </border>
  </borders>
  <cellStyleXfs count="1">
    <xf borderId="0" fillId="0" fontId="0" numFmtId="0" applyAlignment="1" applyFont="1"/>
  </cellStyleXfs>
  <cellXfs count="640">
    <xf borderId="0" fillId="0" fontId="0" numFmtId="0" xfId="0" applyAlignment="1" applyFont="1">
      <alignment readingOrder="0" shrinkToFit="0" vertical="bottom" wrapText="0"/>
    </xf>
    <xf borderId="0" fillId="0" fontId="1" numFmtId="0" xfId="0" applyAlignment="1" applyFont="1">
      <alignment shrinkToFit="0" wrapText="1"/>
    </xf>
    <xf borderId="0" fillId="0" fontId="2" numFmtId="0" xfId="0" applyFont="1"/>
    <xf borderId="0" fillId="0" fontId="2" numFmtId="0" xfId="0" applyAlignment="1" applyFont="1">
      <alignment horizontal="left" readingOrder="0" shrinkToFit="0" vertical="center" wrapText="0"/>
    </xf>
    <xf borderId="0" fillId="0" fontId="2" numFmtId="0" xfId="0" applyAlignment="1" applyFont="1">
      <alignment readingOrder="0" shrinkToFit="0" wrapText="1"/>
    </xf>
    <xf borderId="0" fillId="0" fontId="2" numFmtId="0" xfId="0" applyAlignment="1" applyFont="1">
      <alignment horizontal="center" readingOrder="0" shrinkToFit="0" vertical="center" wrapText="1"/>
    </xf>
    <xf borderId="0" fillId="0" fontId="3" numFmtId="0" xfId="0" applyAlignment="1" applyFont="1">
      <alignment shrinkToFit="0" wrapText="1"/>
    </xf>
    <xf borderId="0" fillId="0" fontId="4" numFmtId="0" xfId="0" applyAlignment="1" applyFont="1">
      <alignment horizontal="left" readingOrder="0" shrinkToFit="0" wrapText="0"/>
    </xf>
    <xf borderId="0" fillId="0" fontId="4" numFmtId="0" xfId="0" applyAlignment="1" applyFont="1">
      <alignment horizontal="left" readingOrder="0" shrinkToFit="0" wrapText="1"/>
    </xf>
    <xf borderId="0" fillId="0" fontId="5"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0" fontId="3"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shrinkToFit="0" wrapText="1"/>
    </xf>
    <xf borderId="0" fillId="0" fontId="4" numFmtId="0" xfId="0" applyAlignment="1" applyFont="1">
      <alignment readingOrder="0" shrinkToFit="0" wrapText="0"/>
    </xf>
    <xf borderId="0" fillId="0" fontId="4" numFmtId="0" xfId="0" applyAlignment="1" applyFont="1">
      <alignment readingOrder="0" shrinkToFit="0" wrapText="1"/>
    </xf>
    <xf borderId="0" fillId="0" fontId="3" numFmtId="164" xfId="0" applyAlignment="1" applyFont="1" applyNumberFormat="1">
      <alignment horizontal="center" readingOrder="0" vertical="center"/>
    </xf>
    <xf borderId="0" fillId="2" fontId="3" numFmtId="164" xfId="0" applyAlignment="1" applyFill="1" applyFont="1" applyNumberFormat="1">
      <alignment horizontal="center" readingOrder="0" vertical="center"/>
    </xf>
    <xf borderId="0" fillId="0" fontId="3" numFmtId="0" xfId="0" applyAlignment="1" applyFont="1">
      <alignment horizontal="center" readingOrder="0" vertical="center"/>
    </xf>
    <xf borderId="0" fillId="0" fontId="3" numFmtId="165" xfId="0" applyAlignment="1" applyFont="1" applyNumberFormat="1">
      <alignment horizontal="center" readingOrder="0" vertical="center"/>
    </xf>
    <xf borderId="0" fillId="3" fontId="3" numFmtId="0" xfId="0" applyAlignment="1" applyFill="1" applyFont="1">
      <alignment horizontal="left" readingOrder="0" shrinkToFit="0" wrapText="0"/>
    </xf>
    <xf borderId="0" fillId="3" fontId="1" numFmtId="0" xfId="0" applyAlignment="1" applyFont="1">
      <alignment horizontal="center" readingOrder="0" shrinkToFit="0" wrapText="1"/>
    </xf>
    <xf borderId="0" fillId="3" fontId="3" numFmtId="0" xfId="0" applyAlignment="1" applyFont="1">
      <alignment horizontal="center" readingOrder="0" shrinkToFit="0" wrapText="1"/>
    </xf>
    <xf borderId="0" fillId="0" fontId="3" numFmtId="0" xfId="0" applyAlignment="1" applyFont="1">
      <alignment horizontal="left" vertical="top"/>
    </xf>
    <xf borderId="0" fillId="0" fontId="4" numFmtId="0" xfId="0" applyAlignment="1" applyFont="1">
      <alignment horizontal="left" readingOrder="0" shrinkToFit="0" vertical="top" wrapText="0"/>
    </xf>
    <xf borderId="0" fillId="0" fontId="4" numFmtId="0" xfId="0" applyAlignment="1" applyFont="1">
      <alignment horizontal="left" readingOrder="0" shrinkToFit="0" vertical="top" wrapText="1"/>
    </xf>
    <xf borderId="0" fillId="0" fontId="1" numFmtId="0" xfId="0" applyAlignment="1" applyFont="1">
      <alignment horizontal="left" shrinkToFit="0" vertical="top" wrapText="1"/>
    </xf>
    <xf borderId="0" fillId="0" fontId="3" numFmtId="0" xfId="0" applyAlignment="1" applyFont="1">
      <alignment horizontal="left" readingOrder="0" vertical="top"/>
    </xf>
    <xf borderId="0" fillId="0" fontId="1" numFmtId="0" xfId="0" applyAlignment="1" applyFont="1">
      <alignment horizontal="left" readingOrder="0" shrinkToFit="0" vertical="top" wrapText="1"/>
    </xf>
    <xf borderId="0" fillId="2" fontId="3" numFmtId="0" xfId="0" applyAlignment="1" applyFont="1">
      <alignment horizontal="left" readingOrder="0" vertical="top"/>
    </xf>
    <xf borderId="0" fillId="0" fontId="7" numFmtId="0" xfId="0" applyAlignment="1" applyFont="1">
      <alignment horizontal="left" readingOrder="0" vertical="top"/>
    </xf>
    <xf borderId="0" fillId="0" fontId="3" numFmtId="0" xfId="0" applyAlignment="1" applyFont="1">
      <alignment horizontal="left" readingOrder="0" shrinkToFit="0" vertical="top" wrapText="0"/>
    </xf>
    <xf borderId="0" fillId="0" fontId="8" numFmtId="0" xfId="0" applyAlignment="1" applyFont="1">
      <alignment horizontal="left" readingOrder="0" shrinkToFit="0" vertical="top" wrapText="1"/>
    </xf>
    <xf borderId="0" fillId="0" fontId="3" numFmtId="0" xfId="0" applyAlignment="1" applyFont="1">
      <alignment readingOrder="0" shrinkToFit="0" vertical="top" wrapText="1"/>
    </xf>
    <xf borderId="0" fillId="0" fontId="9" numFmtId="0" xfId="0" applyAlignment="1" applyFont="1">
      <alignment horizontal="left" readingOrder="0" shrinkToFit="0" wrapText="1"/>
    </xf>
    <xf borderId="0" fillId="4" fontId="3" numFmtId="0" xfId="0" applyAlignment="1" applyFill="1" applyFont="1">
      <alignment horizontal="left" readingOrder="0" shrinkToFit="0" wrapText="0"/>
    </xf>
    <xf borderId="0" fillId="4" fontId="1" numFmtId="0" xfId="0" applyAlignment="1" applyFont="1">
      <alignment horizontal="center" readingOrder="0" shrinkToFit="0" wrapText="1"/>
    </xf>
    <xf borderId="0" fillId="4" fontId="3" numFmtId="0" xfId="0" applyAlignment="1" applyFont="1">
      <alignment horizontal="center" readingOrder="0" shrinkToFit="0" wrapText="1"/>
    </xf>
    <xf borderId="0" fillId="0" fontId="3" numFmtId="0" xfId="0" applyAlignment="1" applyFont="1">
      <alignment vertical="top"/>
    </xf>
    <xf borderId="0" fillId="0" fontId="4" numFmtId="0" xfId="0" applyAlignment="1" applyFont="1">
      <alignment readingOrder="0" shrinkToFit="0" vertical="top" wrapText="0"/>
    </xf>
    <xf borderId="0" fillId="0" fontId="4" numFmtId="0" xfId="0" applyAlignment="1" applyFont="1">
      <alignment readingOrder="0" shrinkToFit="0" vertical="top" wrapText="1"/>
    </xf>
    <xf borderId="0" fillId="0" fontId="1" numFmtId="0" xfId="0" applyAlignment="1" applyFont="1">
      <alignment shrinkToFit="0" vertical="top" wrapText="1"/>
    </xf>
    <xf borderId="0" fillId="0" fontId="3" numFmtId="0" xfId="0" applyAlignment="1" applyFont="1">
      <alignment readingOrder="0" vertical="top"/>
    </xf>
    <xf borderId="0" fillId="0" fontId="1" numFmtId="0" xfId="0" applyAlignment="1" applyFont="1">
      <alignment readingOrder="0" shrinkToFit="0" vertical="top" wrapText="1"/>
    </xf>
    <xf borderId="0" fillId="0" fontId="10" numFmtId="0" xfId="0" applyAlignment="1" applyFont="1">
      <alignment horizontal="left" readingOrder="0" vertical="top"/>
    </xf>
    <xf borderId="0" fillId="0" fontId="10" numFmtId="166" xfId="0" applyAlignment="1" applyFont="1" applyNumberFormat="1">
      <alignment horizontal="left" readingOrder="0" vertical="top"/>
    </xf>
    <xf borderId="0" fillId="0" fontId="10" numFmtId="166" xfId="0" applyAlignment="1" applyFont="1" applyNumberFormat="1">
      <alignment horizontal="left" vertical="top"/>
    </xf>
    <xf borderId="0" fillId="0" fontId="10" numFmtId="167" xfId="0" applyAlignment="1" applyFont="1" applyNumberFormat="1">
      <alignment horizontal="left" readingOrder="0" vertical="top"/>
    </xf>
    <xf borderId="0" fillId="0" fontId="10" numFmtId="168" xfId="0" applyAlignment="1" applyFont="1" applyNumberFormat="1">
      <alignment horizontal="left" readingOrder="0" vertical="top"/>
    </xf>
    <xf borderId="0" fillId="0" fontId="10" numFmtId="168" xfId="0" applyAlignment="1" applyFont="1" applyNumberFormat="1">
      <alignment horizontal="left" vertical="top"/>
    </xf>
    <xf borderId="0" fillId="5" fontId="3" numFmtId="0" xfId="0" applyAlignment="1" applyFill="1" applyFont="1">
      <alignment horizontal="left" readingOrder="0" shrinkToFit="0" wrapText="0"/>
    </xf>
    <xf borderId="0" fillId="5" fontId="1" numFmtId="0" xfId="0" applyAlignment="1" applyFont="1">
      <alignment horizontal="center" readingOrder="0" shrinkToFit="0" wrapText="1"/>
    </xf>
    <xf borderId="0" fillId="5" fontId="3" numFmtId="0" xfId="0" applyAlignment="1" applyFont="1">
      <alignment horizontal="center" readingOrder="0" shrinkToFit="0" wrapText="1"/>
    </xf>
    <xf borderId="0" fillId="0" fontId="3" numFmtId="0" xfId="0" applyAlignment="1" applyFont="1">
      <alignment shrinkToFit="0" vertical="top" wrapText="0"/>
    </xf>
    <xf borderId="0" fillId="0" fontId="3" numFmtId="0" xfId="0" applyAlignment="1" applyFont="1">
      <alignment shrinkToFit="0" wrapText="0"/>
    </xf>
    <xf borderId="0" fillId="6" fontId="3" numFmtId="0" xfId="0" applyFill="1" applyFont="1"/>
    <xf borderId="0" fillId="6" fontId="2" numFmtId="0" xfId="0" applyAlignment="1" applyFont="1">
      <alignment horizontal="center" readingOrder="0" shrinkToFit="0" vertical="center" wrapText="1"/>
    </xf>
    <xf borderId="0" fillId="0" fontId="11" numFmtId="0" xfId="0" applyAlignment="1" applyFont="1">
      <alignment horizontal="left" readingOrder="0" shrinkToFit="0" wrapText="1"/>
    </xf>
    <xf borderId="0" fillId="0" fontId="12" numFmtId="0" xfId="0" applyAlignment="1" applyFont="1">
      <alignment horizontal="center" readingOrder="0" shrinkToFit="0" vertical="center" wrapText="1"/>
    </xf>
    <xf borderId="0" fillId="6" fontId="13" numFmtId="0" xfId="0" applyAlignment="1" applyFont="1">
      <alignment horizontal="center" readingOrder="0" shrinkToFit="0" vertical="center" wrapText="1"/>
    </xf>
    <xf borderId="0" fillId="6" fontId="3" numFmtId="164" xfId="0" applyAlignment="1" applyFont="1" applyNumberFormat="1">
      <alignment horizontal="center" readingOrder="0" vertical="center"/>
    </xf>
    <xf borderId="0" fillId="0" fontId="6" numFmtId="164" xfId="0" applyAlignment="1" applyFont="1" applyNumberFormat="1">
      <alignment horizontal="center" readingOrder="0" vertical="center"/>
    </xf>
    <xf borderId="0" fillId="7" fontId="3" numFmtId="0" xfId="0" applyAlignment="1" applyFill="1" applyFont="1">
      <alignment horizontal="center" readingOrder="0" vertical="center"/>
    </xf>
    <xf borderId="0" fillId="7" fontId="6" numFmtId="0" xfId="0" applyAlignment="1" applyFont="1">
      <alignment horizontal="center" readingOrder="0" vertical="center"/>
    </xf>
    <xf borderId="0" fillId="6" fontId="3" numFmtId="0" xfId="0" applyAlignment="1" applyFont="1">
      <alignment horizontal="center" readingOrder="0" shrinkToFit="0" wrapText="1"/>
    </xf>
    <xf borderId="0" fillId="6" fontId="3" numFmtId="0" xfId="0" applyAlignment="1" applyFont="1">
      <alignment readingOrder="0" vertical="top"/>
    </xf>
    <xf borderId="0" fillId="0" fontId="3" numFmtId="0" xfId="0" applyAlignment="1" applyFont="1">
      <alignment readingOrder="0" shrinkToFit="0" vertical="top" wrapText="0"/>
    </xf>
    <xf borderId="0" fillId="6" fontId="3" numFmtId="0" xfId="0" applyAlignment="1" applyFont="1">
      <alignment horizontal="left" readingOrder="0" vertical="top"/>
    </xf>
    <xf borderId="0" fillId="7" fontId="3" numFmtId="0" xfId="0" applyAlignment="1" applyFont="1">
      <alignment horizontal="left" readingOrder="0" vertical="top"/>
    </xf>
    <xf borderId="0" fillId="0" fontId="3" numFmtId="0" xfId="0" applyAlignment="1" applyFont="1">
      <alignment horizontal="left" readingOrder="0" shrinkToFit="0" vertical="top" wrapText="1"/>
    </xf>
    <xf borderId="0" fillId="6" fontId="10" numFmtId="166" xfId="0" applyAlignment="1" applyFont="1" applyNumberFormat="1">
      <alignment horizontal="left" readingOrder="0" vertical="top"/>
    </xf>
    <xf borderId="0" fillId="6" fontId="10" numFmtId="166" xfId="0" applyAlignment="1" applyFont="1" applyNumberFormat="1">
      <alignment horizontal="left" vertical="top"/>
    </xf>
    <xf borderId="0" fillId="6" fontId="3" numFmtId="0" xfId="0" applyAlignment="1" applyFont="1">
      <alignment horizontal="left" vertical="top"/>
    </xf>
    <xf borderId="0" fillId="7" fontId="3" numFmtId="0" xfId="0" applyAlignment="1" applyFont="1">
      <alignment readingOrder="0" vertical="top"/>
    </xf>
    <xf borderId="0" fillId="6" fontId="7" numFmtId="0" xfId="0" applyAlignment="1" applyFont="1">
      <alignment horizontal="left" readingOrder="0" vertical="top"/>
    </xf>
    <xf borderId="0" fillId="0" fontId="4" numFmtId="0" xfId="0" applyAlignment="1" applyFont="1">
      <alignment readingOrder="0"/>
    </xf>
    <xf borderId="0" fillId="0" fontId="10" numFmtId="169" xfId="0" applyAlignment="1" applyFont="1" applyNumberFormat="1">
      <alignment horizontal="left" readingOrder="0" vertical="top"/>
    </xf>
    <xf borderId="0" fillId="6" fontId="10" numFmtId="169" xfId="0" applyAlignment="1" applyFont="1" applyNumberFormat="1">
      <alignment horizontal="left" readingOrder="0" vertical="top"/>
    </xf>
    <xf borderId="0" fillId="0" fontId="10" numFmtId="170" xfId="0" applyAlignment="1" applyFont="1" applyNumberFormat="1">
      <alignment horizontal="left" readingOrder="0" vertical="top"/>
    </xf>
    <xf borderId="0" fillId="6" fontId="10" numFmtId="170" xfId="0" applyAlignment="1" applyFont="1" applyNumberFormat="1">
      <alignment horizontal="left" readingOrder="0" vertical="top"/>
    </xf>
    <xf borderId="0" fillId="6" fontId="10" numFmtId="168" xfId="0" applyAlignment="1" applyFont="1" applyNumberFormat="1">
      <alignment horizontal="left" vertical="top"/>
    </xf>
    <xf borderId="0" fillId="6" fontId="7" numFmtId="171" xfId="0" applyAlignment="1" applyFont="1" applyNumberFormat="1">
      <alignment horizontal="left" readingOrder="0" vertical="top"/>
    </xf>
    <xf borderId="0" fillId="0" fontId="7" numFmtId="171" xfId="0" applyAlignment="1" applyFont="1" applyNumberFormat="1">
      <alignment horizontal="left" readingOrder="0" vertical="top"/>
    </xf>
    <xf borderId="0" fillId="8" fontId="4" numFmtId="0" xfId="0" applyAlignment="1" applyFill="1" applyFont="1">
      <alignment readingOrder="0" shrinkToFit="0" vertical="top" wrapText="1"/>
    </xf>
    <xf borderId="0" fillId="8" fontId="1" numFmtId="0" xfId="0" applyAlignment="1" applyFont="1">
      <alignment shrinkToFit="0" vertical="top" wrapText="1"/>
    </xf>
    <xf borderId="0" fillId="8" fontId="3" numFmtId="0" xfId="0" applyAlignment="1" applyFont="1">
      <alignment vertical="top"/>
    </xf>
    <xf borderId="0" fillId="0" fontId="14" numFmtId="0" xfId="0" applyAlignment="1" applyFont="1">
      <alignment readingOrder="0"/>
    </xf>
    <xf borderId="0" fillId="6" fontId="3" numFmtId="0" xfId="0" applyAlignment="1" applyFont="1">
      <alignment vertical="top"/>
    </xf>
    <xf borderId="0" fillId="0" fontId="3" numFmtId="0" xfId="0" applyAlignment="1" applyFont="1">
      <alignment readingOrder="0"/>
    </xf>
    <xf borderId="0" fillId="0" fontId="15" numFmtId="0" xfId="0" applyAlignment="1" applyFont="1">
      <alignment horizontal="center" readingOrder="0" shrinkToFit="0" vertical="center" wrapText="1"/>
    </xf>
    <xf borderId="0" fillId="0" fontId="15" numFmtId="0" xfId="0" applyAlignment="1" applyFont="1">
      <alignment shrinkToFit="0" wrapText="1"/>
    </xf>
    <xf borderId="0" fillId="0" fontId="16" numFmtId="0" xfId="0" applyAlignment="1" applyFont="1">
      <alignment horizontal="left" readingOrder="0" shrinkToFit="0" wrapText="0"/>
    </xf>
    <xf borderId="0" fillId="0" fontId="16"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0" fontId="15" numFmtId="49" xfId="0" applyFont="1" applyNumberFormat="1"/>
    <xf borderId="0" fillId="0" fontId="16" numFmtId="49" xfId="0" applyAlignment="1" applyFont="1" applyNumberFormat="1">
      <alignment readingOrder="0" shrinkToFit="0" wrapText="0"/>
    </xf>
    <xf borderId="0" fillId="0" fontId="16" numFmtId="49" xfId="0" applyAlignment="1" applyFont="1" applyNumberFormat="1">
      <alignment readingOrder="0" shrinkToFit="0" wrapText="1"/>
    </xf>
    <xf borderId="0" fillId="0" fontId="17" numFmtId="49" xfId="0" applyAlignment="1" applyFont="1" applyNumberFormat="1">
      <alignment horizontal="left" readingOrder="0" shrinkToFit="0" vertical="center" wrapText="1"/>
    </xf>
    <xf borderId="0" fillId="0" fontId="15" numFmtId="49" xfId="0" applyAlignment="1" applyFont="1" applyNumberFormat="1">
      <alignment horizontal="center" readingOrder="0" shrinkToFit="0" vertical="center" wrapText="1"/>
    </xf>
    <xf borderId="0" fillId="0" fontId="15" numFmtId="49" xfId="0" applyAlignment="1" applyFont="1" applyNumberFormat="1">
      <alignment horizontal="center" readingOrder="0" vertical="center"/>
    </xf>
    <xf borderId="0" fillId="0" fontId="18" numFmtId="49" xfId="0" applyFont="1" applyNumberFormat="1"/>
    <xf borderId="0" fillId="0" fontId="3" numFmtId="9" xfId="0" applyAlignment="1" applyFont="1" applyNumberFormat="1">
      <alignment horizontal="left" readingOrder="0" vertical="top"/>
    </xf>
    <xf borderId="0" fillId="0" fontId="3" numFmtId="166" xfId="0" applyAlignment="1" applyFont="1" applyNumberFormat="1">
      <alignment horizontal="left" readingOrder="0" vertical="top"/>
    </xf>
    <xf borderId="0" fillId="0" fontId="19" numFmtId="0" xfId="0" applyAlignment="1" applyFont="1">
      <alignment readingOrder="0" shrinkToFit="0" vertical="top" wrapText="1"/>
    </xf>
    <xf borderId="0" fillId="3" fontId="4" numFmtId="0" xfId="0" applyAlignment="1" applyFont="1">
      <alignment readingOrder="0"/>
    </xf>
    <xf borderId="0" fillId="9" fontId="20" numFmtId="0" xfId="0" applyAlignment="1" applyFill="1" applyFont="1">
      <alignment readingOrder="0"/>
    </xf>
    <xf borderId="0" fillId="3" fontId="3" numFmtId="0" xfId="0" applyFont="1"/>
    <xf borderId="0" fillId="9" fontId="3" numFmtId="0" xfId="0" applyFont="1"/>
    <xf borderId="0" fillId="3" fontId="3" numFmtId="0" xfId="0" applyAlignment="1" applyFont="1">
      <alignment readingOrder="0"/>
    </xf>
    <xf borderId="0" fillId="9" fontId="21" numFmtId="0" xfId="0" applyAlignment="1" applyFont="1">
      <alignment readingOrder="0"/>
    </xf>
    <xf borderId="0" fillId="0" fontId="3" numFmtId="0" xfId="0" applyAlignment="1" applyFont="1">
      <alignment horizontal="right" readingOrder="0"/>
    </xf>
    <xf borderId="0" fillId="9" fontId="3" numFmtId="0" xfId="0" applyAlignment="1" applyFont="1">
      <alignment readingOrder="0"/>
    </xf>
    <xf borderId="0" fillId="10" fontId="3" numFmtId="0" xfId="0" applyFill="1" applyFont="1"/>
    <xf borderId="1" fillId="0" fontId="2" numFmtId="0" xfId="0" applyAlignment="1" applyBorder="1" applyFont="1">
      <alignment readingOrder="0"/>
    </xf>
    <xf borderId="2" fillId="0" fontId="2" numFmtId="0" xfId="0" applyAlignment="1" applyBorder="1" applyFont="1">
      <alignment readingOrder="0"/>
    </xf>
    <xf borderId="3" fillId="11" fontId="22" numFmtId="49" xfId="0" applyAlignment="1" applyBorder="1" applyFill="1" applyFont="1" applyNumberFormat="1">
      <alignment readingOrder="0" shrinkToFit="0" vertical="top" wrapText="1"/>
    </xf>
    <xf borderId="0" fillId="11" fontId="22" numFmtId="49" xfId="0" applyAlignment="1" applyFont="1" applyNumberFormat="1">
      <alignment readingOrder="0" shrinkToFit="0" vertical="top" wrapText="1"/>
    </xf>
    <xf borderId="0" fillId="11" fontId="22" numFmtId="0" xfId="0" applyAlignment="1" applyFont="1">
      <alignment readingOrder="0" shrinkToFit="0" vertical="top" wrapText="1"/>
    </xf>
    <xf borderId="0" fillId="11" fontId="23" numFmtId="0" xfId="0" applyAlignment="1" applyFont="1">
      <alignment readingOrder="0" shrinkToFit="0" vertical="top" wrapText="1"/>
    </xf>
    <xf borderId="0" fillId="11" fontId="23" numFmtId="0" xfId="0" applyAlignment="1" applyFont="1">
      <alignment shrinkToFit="0" vertical="top" wrapText="1"/>
    </xf>
    <xf borderId="3" fillId="0" fontId="24" numFmtId="0" xfId="0" applyBorder="1" applyFont="1"/>
    <xf borderId="0" fillId="11" fontId="25" numFmtId="0" xfId="0" applyAlignment="1" applyFont="1">
      <alignment readingOrder="0" shrinkToFit="0" vertical="top" wrapText="1"/>
    </xf>
    <xf borderId="1" fillId="0" fontId="24" numFmtId="0" xfId="0" applyBorder="1" applyFont="1"/>
    <xf borderId="4" fillId="11" fontId="22" numFmtId="49" xfId="0" applyAlignment="1" applyBorder="1" applyFont="1" applyNumberFormat="1">
      <alignment readingOrder="0" shrinkToFit="0" vertical="top" wrapText="1"/>
    </xf>
    <xf borderId="5" fillId="11" fontId="22" numFmtId="49" xfId="0" applyAlignment="1" applyBorder="1" applyFont="1" applyNumberFormat="1">
      <alignment readingOrder="0" shrinkToFit="0" vertical="top" wrapText="1"/>
    </xf>
    <xf borderId="6" fillId="11" fontId="22" numFmtId="0" xfId="0" applyAlignment="1" applyBorder="1" applyFont="1">
      <alignment readingOrder="0" shrinkToFit="0" vertical="top" wrapText="1"/>
    </xf>
    <xf borderId="6" fillId="11" fontId="23" numFmtId="0" xfId="0" applyAlignment="1" applyBorder="1" applyFont="1">
      <alignment readingOrder="0" shrinkToFit="0" vertical="top" wrapText="1"/>
    </xf>
    <xf borderId="7" fillId="11" fontId="23" numFmtId="0" xfId="0" applyAlignment="1" applyBorder="1" applyFont="1">
      <alignment shrinkToFit="0" vertical="top" wrapText="1"/>
    </xf>
    <xf borderId="3" fillId="12" fontId="24" numFmtId="0" xfId="0" applyBorder="1" applyFill="1" applyFont="1"/>
    <xf borderId="8" fillId="12" fontId="26" numFmtId="49" xfId="0" applyAlignment="1" applyBorder="1" applyFont="1" applyNumberFormat="1">
      <alignment readingOrder="0" shrinkToFit="0" vertical="top" wrapText="1"/>
    </xf>
    <xf borderId="9" fillId="12" fontId="22" numFmtId="0" xfId="0" applyAlignment="1" applyBorder="1" applyFont="1">
      <alignment readingOrder="0" shrinkToFit="0" vertical="top" wrapText="1"/>
    </xf>
    <xf borderId="9" fillId="12" fontId="23" numFmtId="0" xfId="0" applyAlignment="1" applyBorder="1" applyFont="1">
      <alignment readingOrder="0" shrinkToFit="0" vertical="top" wrapText="1"/>
    </xf>
    <xf borderId="10" fillId="12" fontId="23" numFmtId="0" xfId="0" applyAlignment="1" applyBorder="1" applyFont="1">
      <alignment shrinkToFit="0" vertical="top" wrapText="1"/>
    </xf>
    <xf borderId="3" fillId="11" fontId="24" numFmtId="0" xfId="0" applyBorder="1" applyFont="1"/>
    <xf borderId="8" fillId="11" fontId="26" numFmtId="49" xfId="0" applyAlignment="1" applyBorder="1" applyFont="1" applyNumberFormat="1">
      <alignment readingOrder="0" shrinkToFit="0" vertical="top" wrapText="1"/>
    </xf>
    <xf borderId="9" fillId="11" fontId="22" numFmtId="0" xfId="0" applyAlignment="1" applyBorder="1" applyFont="1">
      <alignment readingOrder="0" shrinkToFit="0" vertical="top" wrapText="1"/>
    </xf>
    <xf borderId="9" fillId="11" fontId="23" numFmtId="0" xfId="0" applyAlignment="1" applyBorder="1" applyFont="1">
      <alignment readingOrder="0" shrinkToFit="0" vertical="top" wrapText="1"/>
    </xf>
    <xf borderId="10" fillId="11" fontId="23" numFmtId="0" xfId="0" applyAlignment="1" applyBorder="1" applyFont="1">
      <alignment shrinkToFit="0" vertical="top" wrapText="1"/>
    </xf>
    <xf borderId="9" fillId="11" fontId="22" numFmtId="49" xfId="0" applyAlignment="1" applyBorder="1" applyFont="1" applyNumberFormat="1">
      <alignment readingOrder="0" shrinkToFit="0" vertical="top" wrapText="1"/>
    </xf>
    <xf borderId="9" fillId="11" fontId="27" numFmtId="0" xfId="0" applyAlignment="1" applyBorder="1" applyFont="1">
      <alignment readingOrder="0" vertical="top"/>
    </xf>
    <xf borderId="10" fillId="11" fontId="27" numFmtId="0" xfId="0" applyAlignment="1" applyBorder="1" applyFont="1">
      <alignment vertical="top"/>
    </xf>
    <xf borderId="1" fillId="12" fontId="24" numFmtId="0" xfId="0" applyBorder="1" applyFont="1"/>
    <xf borderId="11" fillId="12" fontId="26" numFmtId="49" xfId="0" applyAlignment="1" applyBorder="1" applyFont="1" applyNumberFormat="1">
      <alignment shrinkToFit="0" vertical="top" wrapText="1"/>
    </xf>
    <xf borderId="12" fillId="12" fontId="26" numFmtId="49" xfId="0" applyAlignment="1" applyBorder="1" applyFont="1" applyNumberFormat="1">
      <alignment shrinkToFit="0" vertical="top" wrapText="1"/>
    </xf>
    <xf borderId="12" fillId="12" fontId="27" numFmtId="0" xfId="0" applyAlignment="1" applyBorder="1" applyFont="1">
      <alignment vertical="top"/>
    </xf>
    <xf borderId="13" fillId="12" fontId="27" numFmtId="0" xfId="0" applyAlignment="1" applyBorder="1" applyFont="1">
      <alignment vertical="top"/>
    </xf>
    <xf borderId="3" fillId="11" fontId="26" numFmtId="49" xfId="0" applyAlignment="1" applyBorder="1" applyFont="1" applyNumberFormat="1">
      <alignment readingOrder="0" shrinkToFit="0" vertical="top" wrapText="1"/>
    </xf>
    <xf borderId="14" fillId="11" fontId="26" numFmtId="49" xfId="0" applyAlignment="1" applyBorder="1" applyFont="1" applyNumberFormat="1">
      <alignment readingOrder="0" shrinkToFit="0" vertical="top" wrapText="1"/>
    </xf>
    <xf borderId="15" fillId="11" fontId="26" numFmtId="49" xfId="0" applyAlignment="1" applyBorder="1" applyFont="1" applyNumberFormat="1">
      <alignment readingOrder="0" shrinkToFit="0" vertical="top" wrapText="1"/>
    </xf>
    <xf borderId="15" fillId="11" fontId="27" numFmtId="0" xfId="0" applyAlignment="1" applyBorder="1" applyFont="1">
      <alignment readingOrder="0" vertical="top"/>
    </xf>
    <xf borderId="16" fillId="11" fontId="27" numFmtId="0" xfId="0" applyAlignment="1" applyBorder="1" applyFont="1">
      <alignment vertical="top"/>
    </xf>
    <xf borderId="9" fillId="12" fontId="22" numFmtId="49" xfId="0" applyAlignment="1" applyBorder="1" applyFont="1" applyNumberFormat="1">
      <alignment readingOrder="0" shrinkToFit="0" vertical="top" wrapText="1"/>
    </xf>
    <xf borderId="9" fillId="12" fontId="27" numFmtId="0" xfId="0" applyAlignment="1" applyBorder="1" applyFont="1">
      <alignment readingOrder="0" vertical="top"/>
    </xf>
    <xf borderId="10" fillId="12" fontId="27" numFmtId="0" xfId="0" applyAlignment="1" applyBorder="1" applyFont="1">
      <alignment vertical="top"/>
    </xf>
    <xf borderId="1" fillId="11" fontId="24" numFmtId="0" xfId="0" applyBorder="1" applyFont="1"/>
    <xf borderId="11" fillId="11" fontId="26" numFmtId="49" xfId="0" applyAlignment="1" applyBorder="1" applyFont="1" applyNumberFormat="1">
      <alignment shrinkToFit="0" vertical="top" wrapText="1"/>
    </xf>
    <xf borderId="12" fillId="11" fontId="22" numFmtId="0" xfId="0" applyAlignment="1" applyBorder="1" applyFont="1">
      <alignment shrinkToFit="0" vertical="top" wrapText="1"/>
    </xf>
    <xf borderId="12" fillId="11" fontId="27" numFmtId="0" xfId="0" applyAlignment="1" applyBorder="1" applyFont="1">
      <alignment vertical="top"/>
    </xf>
    <xf borderId="13" fillId="11" fontId="27" numFmtId="0" xfId="0" applyAlignment="1" applyBorder="1" applyFont="1">
      <alignment vertical="top"/>
    </xf>
    <xf borderId="3" fillId="12" fontId="26" numFmtId="49" xfId="0" applyAlignment="1" applyBorder="1" applyFont="1" applyNumberFormat="1">
      <alignment readingOrder="0" shrinkToFit="0" vertical="top" wrapText="1"/>
    </xf>
    <xf borderId="14" fillId="12" fontId="26" numFmtId="49" xfId="0" applyAlignment="1" applyBorder="1" applyFont="1" applyNumberFormat="1">
      <alignment readingOrder="0" shrinkToFit="0" vertical="top" wrapText="1"/>
    </xf>
    <xf borderId="15" fillId="12" fontId="22" numFmtId="0" xfId="0" applyAlignment="1" applyBorder="1" applyFont="1">
      <alignment readingOrder="0" shrinkToFit="0" vertical="top" wrapText="1"/>
    </xf>
    <xf borderId="15" fillId="12" fontId="27" numFmtId="0" xfId="0" applyAlignment="1" applyBorder="1" applyFont="1">
      <alignment vertical="top"/>
    </xf>
    <xf borderId="15" fillId="12" fontId="27" numFmtId="0" xfId="0" applyAlignment="1" applyBorder="1" applyFont="1">
      <alignment readingOrder="0" vertical="top"/>
    </xf>
    <xf borderId="16" fillId="12" fontId="27" numFmtId="0" xfId="0" applyAlignment="1" applyBorder="1" applyFont="1">
      <alignment vertical="top"/>
    </xf>
    <xf borderId="9" fillId="11" fontId="27" numFmtId="0" xfId="0" applyAlignment="1" applyBorder="1" applyFont="1">
      <alignment vertical="top"/>
    </xf>
    <xf borderId="9" fillId="12" fontId="28" numFmtId="0" xfId="0" applyAlignment="1" applyBorder="1" applyFont="1">
      <alignment readingOrder="0" vertical="top"/>
    </xf>
    <xf borderId="11" fillId="12" fontId="27" numFmtId="49" xfId="0" applyAlignment="1" applyBorder="1" applyFont="1" applyNumberFormat="1">
      <alignment vertical="top"/>
    </xf>
    <xf borderId="12" fillId="12" fontId="27" numFmtId="49" xfId="0" applyAlignment="1" applyBorder="1" applyFont="1" applyNumberFormat="1">
      <alignment vertical="top"/>
    </xf>
    <xf borderId="0" fillId="3" fontId="29" numFmtId="0" xfId="0" applyAlignment="1" applyFont="1">
      <alignment readingOrder="0"/>
    </xf>
    <xf borderId="0" fillId="3" fontId="4" numFmtId="0" xfId="0" applyFont="1"/>
    <xf borderId="0" fillId="3" fontId="30" numFmtId="0" xfId="0" applyAlignment="1" applyFont="1">
      <alignment readingOrder="0"/>
    </xf>
    <xf borderId="0" fillId="3" fontId="4" numFmtId="0" xfId="0" applyAlignment="1" applyFont="1">
      <alignment readingOrder="0" shrinkToFit="0" wrapText="1"/>
    </xf>
    <xf borderId="0" fillId="0" fontId="31" numFmtId="0" xfId="0" applyAlignment="1" applyFont="1">
      <alignment vertical="top"/>
    </xf>
    <xf borderId="0" fillId="0" fontId="27" numFmtId="0" xfId="0" applyAlignment="1" applyFont="1">
      <alignment vertical="top"/>
    </xf>
    <xf borderId="0" fillId="0" fontId="32" numFmtId="0" xfId="0" applyAlignment="1" applyFont="1">
      <alignment readingOrder="0" vertical="top"/>
    </xf>
    <xf borderId="0" fillId="13" fontId="31" numFmtId="0" xfId="0" applyAlignment="1" applyFill="1" applyFont="1">
      <alignment vertical="top"/>
    </xf>
    <xf borderId="0" fillId="13" fontId="27" numFmtId="0" xfId="0" applyAlignment="1" applyFont="1">
      <alignment vertical="top"/>
    </xf>
    <xf borderId="0" fillId="13" fontId="32" numFmtId="0" xfId="0" applyAlignment="1" applyFont="1">
      <alignment shrinkToFit="0" vertical="top" wrapText="1"/>
    </xf>
    <xf borderId="0" fillId="13" fontId="3" numFmtId="0" xfId="0" applyAlignment="1" applyFont="1">
      <alignment readingOrder="0" shrinkToFit="0" wrapText="1"/>
    </xf>
    <xf borderId="0" fillId="0" fontId="32" numFmtId="0" xfId="0" applyAlignment="1" applyFont="1">
      <alignment shrinkToFit="0" vertical="top" wrapText="1"/>
    </xf>
    <xf borderId="0" fillId="0" fontId="32" numFmtId="0" xfId="0" applyAlignment="1" applyFont="1">
      <alignment readingOrder="0" shrinkToFit="0" vertical="top" wrapText="1"/>
    </xf>
    <xf borderId="0" fillId="0" fontId="3" numFmtId="0" xfId="0" applyAlignment="1" applyFont="1">
      <alignment readingOrder="0" shrinkToFit="0" wrapText="1"/>
    </xf>
    <xf borderId="0" fillId="0" fontId="33" numFmtId="0" xfId="0" applyAlignment="1" applyFont="1">
      <alignment readingOrder="0" shrinkToFit="0" wrapText="1"/>
    </xf>
    <xf borderId="0" fillId="0" fontId="33" numFmtId="0" xfId="0" applyAlignment="1" applyFont="1">
      <alignment readingOrder="0"/>
    </xf>
    <xf borderId="0" fillId="13" fontId="3" numFmtId="0" xfId="0" applyAlignment="1" applyFont="1">
      <alignment shrinkToFit="0" wrapText="1"/>
    </xf>
    <xf borderId="0" fillId="0" fontId="34" numFmtId="0" xfId="0" applyAlignment="1" applyFont="1">
      <alignment readingOrder="0" shrinkToFit="0" wrapText="1"/>
    </xf>
    <xf borderId="0" fillId="13" fontId="32" numFmtId="0" xfId="0" applyAlignment="1" applyFont="1">
      <alignment vertical="top"/>
    </xf>
    <xf borderId="0" fillId="0" fontId="32" numFmtId="0" xfId="0" applyAlignment="1" applyFont="1">
      <alignment vertical="top"/>
    </xf>
    <xf borderId="0" fillId="0" fontId="31" numFmtId="0" xfId="0" applyAlignment="1" applyFont="1">
      <alignment readingOrder="0" vertical="top"/>
    </xf>
    <xf borderId="0" fillId="0" fontId="27" numFmtId="0" xfId="0" applyAlignment="1" applyFont="1">
      <alignment vertical="bottom"/>
    </xf>
    <xf borderId="0" fillId="0" fontId="1" numFmtId="0" xfId="0" applyFont="1"/>
    <xf borderId="0" fillId="0" fontId="7" numFmtId="0" xfId="0" applyAlignment="1" applyFont="1">
      <alignment readingOrder="0" shrinkToFit="0" wrapText="1"/>
    </xf>
    <xf borderId="0" fillId="13" fontId="27" numFmtId="0" xfId="0" applyAlignment="1" applyFont="1">
      <alignment vertical="bottom"/>
    </xf>
    <xf borderId="0" fillId="0" fontId="31" numFmtId="0" xfId="0" applyAlignment="1" applyFont="1">
      <alignment readingOrder="0" vertical="bottom"/>
    </xf>
    <xf borderId="0" fillId="0" fontId="27" numFmtId="0" xfId="0" applyAlignment="1" applyFont="1">
      <alignment readingOrder="0" vertical="top"/>
    </xf>
    <xf borderId="0" fillId="0" fontId="27" numFmtId="0" xfId="0" applyAlignment="1" applyFont="1">
      <alignment shrinkToFit="0" vertical="top" wrapText="1"/>
    </xf>
    <xf borderId="0" fillId="0" fontId="35" numFmtId="0" xfId="0" applyAlignment="1" applyFont="1">
      <alignment readingOrder="0" shrinkToFit="0" vertical="bottom" wrapText="1"/>
    </xf>
    <xf borderId="0" fillId="0" fontId="35" numFmtId="0" xfId="0" applyAlignment="1" applyFont="1">
      <alignment shrinkToFit="0" vertical="bottom" wrapText="1"/>
    </xf>
    <xf borderId="0" fillId="0" fontId="27" numFmtId="0" xfId="0" applyAlignment="1" applyFont="1">
      <alignment readingOrder="0" shrinkToFit="0" vertical="top" wrapText="1"/>
    </xf>
    <xf borderId="0" fillId="4" fontId="27" numFmtId="0" xfId="0" applyAlignment="1" applyFont="1">
      <alignment vertical="bottom"/>
    </xf>
    <xf borderId="0" fillId="4" fontId="32" numFmtId="0" xfId="0" applyAlignment="1" applyFont="1">
      <alignment vertical="bottom"/>
    </xf>
    <xf borderId="0" fillId="13" fontId="27" numFmtId="0" xfId="0" applyAlignment="1" applyFont="1">
      <alignment shrinkToFit="0" vertical="bottom" wrapText="1"/>
    </xf>
    <xf borderId="0" fillId="0" fontId="36" numFmtId="0" xfId="0" applyAlignment="1" applyFont="1">
      <alignment readingOrder="0" shrinkToFit="0" vertical="bottom" wrapText="1"/>
    </xf>
    <xf borderId="0" fillId="13" fontId="3" numFmtId="0" xfId="0" applyFont="1"/>
    <xf borderId="0" fillId="5" fontId="27" numFmtId="0" xfId="0" applyAlignment="1" applyFont="1">
      <alignment vertical="bottom"/>
    </xf>
    <xf borderId="0" fillId="5" fontId="32" numFmtId="0" xfId="0" applyAlignment="1" applyFont="1">
      <alignment vertical="bottom"/>
    </xf>
    <xf borderId="0" fillId="0" fontId="32" numFmtId="0" xfId="0" applyAlignment="1" applyFont="1">
      <alignment readingOrder="0"/>
    </xf>
    <xf borderId="0" fillId="0" fontId="30" numFmtId="0" xfId="0" applyAlignment="1" applyFont="1">
      <alignment readingOrder="0" shrinkToFit="0" vertical="top" wrapText="0"/>
    </xf>
    <xf borderId="0" fillId="0" fontId="37" numFmtId="0" xfId="0" applyAlignment="1" applyFont="1">
      <alignment readingOrder="0" shrinkToFit="0" vertical="top" wrapText="1"/>
    </xf>
    <xf borderId="0" fillId="0" fontId="37" numFmtId="0" xfId="0" applyAlignment="1" applyFont="1">
      <alignment shrinkToFit="0" vertical="top" wrapText="1"/>
    </xf>
    <xf borderId="0" fillId="0" fontId="38" numFmtId="0" xfId="0" applyAlignment="1" applyFont="1">
      <alignment readingOrder="0" shrinkToFit="0" vertical="top" wrapText="1"/>
    </xf>
    <xf borderId="0" fillId="0" fontId="38" numFmtId="0" xfId="0" applyAlignment="1" applyFont="1">
      <alignment shrinkToFit="0" vertical="top" wrapText="1"/>
    </xf>
    <xf borderId="0" fillId="0" fontId="39" numFmtId="0" xfId="0" applyAlignment="1" applyFont="1">
      <alignment readingOrder="0" shrinkToFit="0" vertical="top" wrapText="1"/>
    </xf>
    <xf borderId="0" fillId="0" fontId="39" numFmtId="0" xfId="0" applyAlignment="1" applyFont="1">
      <alignment shrinkToFit="0" vertical="top" wrapText="1"/>
    </xf>
    <xf borderId="2" fillId="0" fontId="40" numFmtId="0" xfId="0" applyAlignment="1" applyBorder="1" applyFont="1">
      <alignment vertical="bottom"/>
    </xf>
    <xf borderId="2" fillId="0" fontId="2" numFmtId="0" xfId="0" applyAlignment="1" applyBorder="1" applyFont="1">
      <alignment horizontal="center" readingOrder="0"/>
    </xf>
    <xf borderId="14" fillId="11" fontId="22" numFmtId="49" xfId="0" applyAlignment="1" applyBorder="1" applyFont="1" applyNumberFormat="1">
      <alignment readingOrder="0" shrinkToFit="0" vertical="top" wrapText="1"/>
    </xf>
    <xf borderId="15" fillId="11" fontId="22" numFmtId="0" xfId="0" applyAlignment="1" applyBorder="1" applyFont="1">
      <alignment readingOrder="0" shrinkToFit="0" vertical="top" wrapText="1"/>
    </xf>
    <xf borderId="15" fillId="11" fontId="27" numFmtId="0" xfId="0" applyAlignment="1" applyBorder="1" applyFont="1">
      <alignment readingOrder="0" vertical="top"/>
    </xf>
    <xf borderId="15" fillId="12" fontId="41" numFmtId="49" xfId="0" applyAlignment="1" applyBorder="1" applyFont="1" applyNumberFormat="1">
      <alignment readingOrder="0" shrinkToFit="0" vertical="top" wrapText="0"/>
    </xf>
    <xf borderId="15" fillId="12" fontId="41" numFmtId="0" xfId="0" applyAlignment="1" applyBorder="1" applyFont="1">
      <alignment readingOrder="0" shrinkToFit="0" vertical="top" wrapText="0"/>
    </xf>
    <xf borderId="15" fillId="11" fontId="23" numFmtId="0" xfId="0" applyAlignment="1" applyBorder="1" applyFont="1">
      <alignment readingOrder="0" shrinkToFit="0" vertical="top" wrapText="1"/>
    </xf>
    <xf borderId="16" fillId="11" fontId="23" numFmtId="0" xfId="0" applyAlignment="1" applyBorder="1" applyFont="1">
      <alignment readingOrder="0" shrinkToFit="0" vertical="top" wrapText="1"/>
    </xf>
    <xf borderId="0" fillId="12" fontId="23" numFmtId="0" xfId="0" applyAlignment="1" applyFont="1">
      <alignment readingOrder="0" shrinkToFit="0" vertical="top" wrapText="1"/>
    </xf>
    <xf borderId="0" fillId="11" fontId="42" numFmtId="0" xfId="0" applyAlignment="1" applyFont="1">
      <alignment shrinkToFit="0" vertical="top" wrapText="1"/>
    </xf>
    <xf borderId="0" fillId="12" fontId="23" numFmtId="172" xfId="0" applyAlignment="1" applyFont="1" applyNumberFormat="1">
      <alignment readingOrder="0" shrinkToFit="0" vertical="top" wrapText="1"/>
    </xf>
    <xf borderId="0" fillId="11" fontId="23" numFmtId="164" xfId="0" applyAlignment="1" applyFont="1" applyNumberFormat="1">
      <alignment readingOrder="0" shrinkToFit="0" vertical="top" wrapText="1"/>
    </xf>
    <xf borderId="8" fillId="12" fontId="26" numFmtId="49" xfId="0" applyAlignment="1" applyBorder="1" applyFont="1" applyNumberFormat="1">
      <alignment readingOrder="0" shrinkToFit="0" vertical="top" wrapText="1"/>
    </xf>
    <xf borderId="9" fillId="11" fontId="22" numFmtId="0" xfId="0" applyAlignment="1" applyBorder="1" applyFont="1">
      <alignment readingOrder="0" shrinkToFit="0" vertical="top" wrapText="1"/>
    </xf>
    <xf borderId="9" fillId="11" fontId="27" numFmtId="0" xfId="0" applyAlignment="1" applyBorder="1" applyFont="1">
      <alignment readingOrder="0" vertical="top"/>
    </xf>
    <xf borderId="9" fillId="12" fontId="41" numFmtId="49" xfId="0" applyAlignment="1" applyBorder="1" applyFont="1" applyNumberFormat="1">
      <alignment readingOrder="0" shrinkToFit="0" vertical="top" wrapText="0"/>
    </xf>
    <xf borderId="9" fillId="12" fontId="41" numFmtId="0" xfId="0" applyAlignment="1" applyBorder="1" applyFont="1">
      <alignment readingOrder="0" shrinkToFit="0" vertical="top" wrapText="0"/>
    </xf>
    <xf borderId="9" fillId="11" fontId="23" numFmtId="0" xfId="0" applyAlignment="1" applyBorder="1" applyFont="1">
      <alignment readingOrder="0" shrinkToFit="0" vertical="top" wrapText="1"/>
    </xf>
    <xf borderId="10" fillId="11" fontId="23" numFmtId="0" xfId="0" applyAlignment="1" applyBorder="1" applyFont="1">
      <alignment readingOrder="0" shrinkToFit="0" vertical="top" wrapText="1"/>
    </xf>
    <xf borderId="10" fillId="12" fontId="23" numFmtId="0" xfId="0" applyAlignment="1" applyBorder="1" applyFont="1">
      <alignment readingOrder="0" shrinkToFit="0" vertical="top" wrapText="1"/>
    </xf>
    <xf borderId="0" fillId="12" fontId="42" numFmtId="0" xfId="0" applyAlignment="1" applyFont="1">
      <alignment shrinkToFit="0" vertical="top" wrapText="1"/>
    </xf>
    <xf borderId="0" fillId="12" fontId="23" numFmtId="164" xfId="0" applyAlignment="1" applyFont="1" applyNumberFormat="1">
      <alignment horizontal="right" shrinkToFit="0" vertical="top" wrapText="1"/>
    </xf>
    <xf borderId="10" fillId="11" fontId="27" numFmtId="0" xfId="0" applyAlignment="1" applyBorder="1" applyFont="1">
      <alignment readingOrder="0" vertical="top"/>
    </xf>
    <xf borderId="17" fillId="12" fontId="26" numFmtId="49" xfId="0" applyAlignment="1" applyBorder="1" applyFont="1" applyNumberFormat="1">
      <alignment shrinkToFit="0" vertical="top" wrapText="1"/>
    </xf>
    <xf borderId="18" fillId="12" fontId="26" numFmtId="49" xfId="0" applyAlignment="1" applyBorder="1" applyFont="1" applyNumberFormat="1">
      <alignment shrinkToFit="0" vertical="top" wrapText="1"/>
    </xf>
    <xf borderId="18" fillId="11" fontId="27" numFmtId="0" xfId="0" applyAlignment="1" applyBorder="1" applyFont="1">
      <alignment readingOrder="0" vertical="top"/>
    </xf>
    <xf borderId="18" fillId="12" fontId="27" numFmtId="49" xfId="0" applyAlignment="1" applyBorder="1" applyFont="1" applyNumberFormat="1">
      <alignment vertical="top"/>
    </xf>
    <xf borderId="18" fillId="12" fontId="27" numFmtId="0" xfId="0" applyAlignment="1" applyBorder="1" applyFont="1">
      <alignment vertical="top"/>
    </xf>
    <xf borderId="19" fillId="12" fontId="27" numFmtId="0" xfId="0" applyAlignment="1" applyBorder="1" applyFont="1">
      <alignment vertical="top"/>
    </xf>
    <xf borderId="0" fillId="12" fontId="27" numFmtId="0" xfId="0" applyAlignment="1" applyFont="1">
      <alignment vertical="top"/>
    </xf>
    <xf borderId="0" fillId="12" fontId="32" numFmtId="0" xfId="0" applyAlignment="1" applyFont="1">
      <alignment vertical="top"/>
    </xf>
    <xf borderId="20" fillId="12" fontId="23" numFmtId="172" xfId="0" applyAlignment="1" applyBorder="1" applyFont="1" applyNumberFormat="1">
      <alignment readingOrder="0" shrinkToFit="0" vertical="top" wrapText="1"/>
    </xf>
    <xf borderId="21" fillId="12" fontId="26" numFmtId="49" xfId="0" applyAlignment="1" applyBorder="1" applyFont="1" applyNumberFormat="1">
      <alignment readingOrder="0" shrinkToFit="0" vertical="top" wrapText="1"/>
    </xf>
    <xf borderId="22" fillId="12" fontId="26" numFmtId="49" xfId="0" applyAlignment="1" applyBorder="1" applyFont="1" applyNumberFormat="1">
      <alignment readingOrder="0" shrinkToFit="0" vertical="top" wrapText="1"/>
    </xf>
    <xf borderId="23" fillId="12" fontId="26" numFmtId="49" xfId="0" applyAlignment="1" applyBorder="1" applyFont="1" applyNumberFormat="1">
      <alignment readingOrder="0" shrinkToFit="0" vertical="top" wrapText="1"/>
    </xf>
    <xf borderId="23" fillId="11" fontId="27" numFmtId="0" xfId="0" applyAlignment="1" applyBorder="1" applyFont="1">
      <alignment readingOrder="0" vertical="top"/>
    </xf>
    <xf borderId="23" fillId="12" fontId="41" numFmtId="49" xfId="0" applyAlignment="1" applyBorder="1" applyFont="1" applyNumberFormat="1">
      <alignment readingOrder="0" shrinkToFit="0" vertical="top" wrapText="0"/>
    </xf>
    <xf borderId="23" fillId="12" fontId="41" numFmtId="0" xfId="0" applyAlignment="1" applyBorder="1" applyFont="1">
      <alignment readingOrder="0" shrinkToFit="0" vertical="top" wrapText="0"/>
    </xf>
    <xf borderId="23" fillId="12" fontId="27" numFmtId="0" xfId="0" applyAlignment="1" applyBorder="1" applyFont="1">
      <alignment readingOrder="0" vertical="top"/>
    </xf>
    <xf borderId="24" fillId="12" fontId="27" numFmtId="0" xfId="0" applyAlignment="1" applyBorder="1" applyFont="1">
      <alignment readingOrder="0" vertical="top"/>
    </xf>
    <xf borderId="24" fillId="11" fontId="32" numFmtId="0" xfId="0" applyAlignment="1" applyBorder="1" applyFont="1">
      <alignment vertical="top"/>
    </xf>
    <xf borderId="25" fillId="12" fontId="27" numFmtId="0" xfId="0" applyAlignment="1" applyBorder="1" applyFont="1">
      <alignment readingOrder="0" vertical="top"/>
    </xf>
    <xf borderId="25" fillId="11" fontId="27" numFmtId="164" xfId="0" applyAlignment="1" applyBorder="1" applyFont="1" applyNumberFormat="1">
      <alignment readingOrder="0" vertical="top"/>
    </xf>
    <xf borderId="3" fillId="12" fontId="26" numFmtId="49" xfId="0" applyAlignment="1" applyBorder="1" applyFont="1" applyNumberFormat="1">
      <alignment readingOrder="0" shrinkToFit="0" vertical="top" wrapText="1"/>
    </xf>
    <xf borderId="9" fillId="12" fontId="26" numFmtId="49" xfId="0" applyAlignment="1" applyBorder="1" applyFont="1" applyNumberFormat="1">
      <alignment readingOrder="0" shrinkToFit="0" vertical="top" wrapText="1"/>
    </xf>
    <xf borderId="9" fillId="12" fontId="27" numFmtId="0" xfId="0" applyAlignment="1" applyBorder="1" applyFont="1">
      <alignment readingOrder="0" vertical="top"/>
    </xf>
    <xf borderId="10" fillId="12" fontId="27" numFmtId="0" xfId="0" applyAlignment="1" applyBorder="1" applyFont="1">
      <alignment readingOrder="0" vertical="top"/>
    </xf>
    <xf borderId="10" fillId="12" fontId="32" numFmtId="0" xfId="0" applyAlignment="1" applyBorder="1" applyFont="1">
      <alignment vertical="top"/>
    </xf>
    <xf borderId="0" fillId="12" fontId="27" numFmtId="0" xfId="0" applyAlignment="1" applyFont="1">
      <alignment readingOrder="0" vertical="top"/>
    </xf>
    <xf borderId="0" fillId="12" fontId="27" numFmtId="164" xfId="0" applyAlignment="1" applyFont="1" applyNumberFormat="1">
      <alignment readingOrder="0" vertical="top"/>
    </xf>
    <xf borderId="10" fillId="11" fontId="32" numFmtId="0" xfId="0" applyAlignment="1" applyBorder="1" applyFont="1">
      <alignment vertical="top"/>
    </xf>
    <xf borderId="9" fillId="12" fontId="43" numFmtId="49" xfId="0" applyAlignment="1" applyBorder="1" applyFont="1" applyNumberFormat="1">
      <alignment readingOrder="0" shrinkToFit="0" vertical="top" wrapText="1"/>
    </xf>
    <xf borderId="0" fillId="11" fontId="27" numFmtId="164" xfId="0" applyAlignment="1" applyFont="1" applyNumberFormat="1">
      <alignment readingOrder="0" vertical="top"/>
    </xf>
    <xf borderId="8" fillId="11" fontId="26" numFmtId="49" xfId="0" applyAlignment="1" applyBorder="1" applyFont="1" applyNumberFormat="1">
      <alignment readingOrder="0" shrinkToFit="0" vertical="top" wrapText="1"/>
    </xf>
    <xf borderId="9" fillId="12" fontId="27" numFmtId="49" xfId="0" applyAlignment="1" applyBorder="1" applyFont="1" applyNumberFormat="1">
      <alignment readingOrder="0" vertical="top"/>
    </xf>
    <xf borderId="0" fillId="11" fontId="27" numFmtId="0" xfId="0" applyAlignment="1" applyFont="1">
      <alignment readingOrder="0" vertical="top"/>
    </xf>
    <xf borderId="9" fillId="11" fontId="22" numFmtId="49" xfId="0" applyAlignment="1" applyBorder="1" applyFont="1" applyNumberFormat="1">
      <alignment readingOrder="0" shrinkToFit="0" vertical="top" wrapText="1"/>
    </xf>
    <xf borderId="17" fillId="11" fontId="26" numFmtId="49" xfId="0" applyAlignment="1" applyBorder="1" applyFont="1" applyNumberFormat="1">
      <alignment readingOrder="0" shrinkToFit="0" vertical="top" wrapText="1"/>
    </xf>
    <xf borderId="18" fillId="11" fontId="22" numFmtId="49" xfId="0" applyAlignment="1" applyBorder="1" applyFont="1" applyNumberFormat="1">
      <alignment readingOrder="0" shrinkToFit="0" vertical="top" wrapText="1"/>
    </xf>
    <xf borderId="18" fillId="12" fontId="27" numFmtId="0" xfId="0" applyAlignment="1" applyBorder="1" applyFont="1">
      <alignment readingOrder="0" vertical="top"/>
    </xf>
    <xf borderId="19" fillId="11" fontId="27" numFmtId="0" xfId="0" applyAlignment="1" applyBorder="1" applyFont="1">
      <alignment readingOrder="0" vertical="top"/>
    </xf>
    <xf borderId="19" fillId="12" fontId="32" numFmtId="0" xfId="0" applyAlignment="1" applyBorder="1" applyFont="1">
      <alignment vertical="top"/>
    </xf>
    <xf borderId="0" fillId="11" fontId="27" numFmtId="173" xfId="0" applyAlignment="1" applyFont="1" applyNumberFormat="1">
      <alignment readingOrder="0" vertical="top"/>
    </xf>
    <xf borderId="18" fillId="12" fontId="22" numFmtId="0" xfId="0" applyAlignment="1" applyBorder="1" applyFont="1">
      <alignment shrinkToFit="0" vertical="top" wrapText="1"/>
    </xf>
    <xf borderId="19" fillId="11" fontId="32" numFmtId="0" xfId="0" applyAlignment="1" applyBorder="1" applyFont="1">
      <alignment vertical="top"/>
    </xf>
    <xf borderId="23" fillId="12" fontId="22" numFmtId="0" xfId="0" applyAlignment="1" applyBorder="1" applyFont="1">
      <alignment readingOrder="0" shrinkToFit="0" vertical="top" wrapText="1"/>
    </xf>
    <xf borderId="23" fillId="12" fontId="27" numFmtId="49" xfId="0" applyAlignment="1" applyBorder="1" applyFont="1" applyNumberFormat="1">
      <alignment readingOrder="0" vertical="top"/>
    </xf>
    <xf borderId="24" fillId="12" fontId="32" numFmtId="0" xfId="0" applyAlignment="1" applyBorder="1" applyFont="1">
      <alignment vertical="top"/>
    </xf>
    <xf borderId="9" fillId="12" fontId="22" numFmtId="0" xfId="0" applyAlignment="1" applyBorder="1" applyFont="1">
      <alignment readingOrder="0" shrinkToFit="0" vertical="top" wrapText="1"/>
    </xf>
    <xf borderId="9" fillId="11" fontId="27" numFmtId="0" xfId="0" applyAlignment="1" applyBorder="1" applyFont="1">
      <alignment readingOrder="0" vertical="top"/>
    </xf>
    <xf borderId="9" fillId="12" fontId="22" numFmtId="49" xfId="0" applyAlignment="1" applyBorder="1" applyFont="1" applyNumberFormat="1">
      <alignment readingOrder="0" shrinkToFit="0" vertical="top" wrapText="1"/>
    </xf>
    <xf borderId="17" fillId="12" fontId="26" numFmtId="49" xfId="0" applyAlignment="1" applyBorder="1" applyFont="1" applyNumberFormat="1">
      <alignment readingOrder="0" shrinkToFit="0" vertical="top" wrapText="1"/>
    </xf>
    <xf borderId="18" fillId="12" fontId="22" numFmtId="49" xfId="0" applyAlignment="1" applyBorder="1" applyFont="1" applyNumberFormat="1">
      <alignment readingOrder="0" shrinkToFit="0" vertical="top" wrapText="1"/>
    </xf>
    <xf borderId="18" fillId="12" fontId="27" numFmtId="49" xfId="0" applyAlignment="1" applyBorder="1" applyFont="1" applyNumberFormat="1">
      <alignment readingOrder="0" vertical="top"/>
    </xf>
    <xf borderId="18" fillId="11" fontId="27" numFmtId="0" xfId="0" applyAlignment="1" applyBorder="1" applyFont="1">
      <alignment vertical="top"/>
    </xf>
    <xf borderId="19" fillId="11" fontId="27" numFmtId="0" xfId="0" applyAlignment="1" applyBorder="1" applyFont="1">
      <alignment vertical="top"/>
    </xf>
    <xf borderId="0" fillId="11" fontId="27" numFmtId="0" xfId="0" applyAlignment="1" applyFont="1">
      <alignment vertical="top"/>
    </xf>
    <xf borderId="23" fillId="12" fontId="22" numFmtId="49" xfId="0" applyAlignment="1" applyBorder="1" applyFont="1" applyNumberFormat="1">
      <alignment readingOrder="0" shrinkToFit="0" vertical="top" wrapText="1"/>
    </xf>
    <xf borderId="24" fillId="11" fontId="27" numFmtId="0" xfId="0" applyAlignment="1" applyBorder="1" applyFont="1">
      <alignment readingOrder="0" vertical="top"/>
    </xf>
    <xf borderId="25" fillId="11" fontId="27" numFmtId="0" xfId="0" applyAlignment="1" applyBorder="1" applyFont="1">
      <alignment readingOrder="0" vertical="top"/>
    </xf>
    <xf borderId="9" fillId="12" fontId="41" numFmtId="49" xfId="0" applyAlignment="1" applyBorder="1" applyFont="1" applyNumberFormat="1">
      <alignment shrinkToFit="0" vertical="top" wrapText="0"/>
    </xf>
    <xf borderId="9" fillId="12" fontId="27" numFmtId="49" xfId="0" applyAlignment="1" applyBorder="1" applyFont="1" applyNumberFormat="1">
      <alignment vertical="top"/>
    </xf>
    <xf borderId="17" fillId="11" fontId="27" numFmtId="49" xfId="0" applyAlignment="1" applyBorder="1" applyFont="1" applyNumberFormat="1">
      <alignment vertical="top"/>
    </xf>
    <xf borderId="18" fillId="11" fontId="27" numFmtId="49" xfId="0" applyAlignment="1" applyBorder="1" applyFont="1" applyNumberFormat="1">
      <alignment vertical="top"/>
    </xf>
    <xf borderId="22" fillId="12" fontId="44" numFmtId="49" xfId="0" applyAlignment="1" applyBorder="1" applyFont="1" applyNumberFormat="1">
      <alignment readingOrder="0" shrinkToFit="0" vertical="top" wrapText="1"/>
    </xf>
    <xf borderId="23" fillId="12" fontId="45" numFmtId="49" xfId="0" applyAlignment="1" applyBorder="1" applyFont="1" applyNumberFormat="1">
      <alignment readingOrder="0" shrinkToFit="0" vertical="top" wrapText="1"/>
    </xf>
    <xf borderId="23" fillId="12" fontId="41" numFmtId="0" xfId="0" applyAlignment="1" applyBorder="1" applyFont="1">
      <alignment shrinkToFit="0" vertical="top" wrapText="0"/>
    </xf>
    <xf borderId="24" fillId="12" fontId="41" numFmtId="0" xfId="0" applyAlignment="1" applyBorder="1" applyFont="1">
      <alignment readingOrder="0" shrinkToFit="0" vertical="top" wrapText="0"/>
    </xf>
    <xf borderId="24" fillId="11" fontId="46" numFmtId="0" xfId="0" applyAlignment="1" applyBorder="1" applyFont="1">
      <alignment shrinkToFit="0" vertical="top" wrapText="0"/>
    </xf>
    <xf borderId="25" fillId="12" fontId="41" numFmtId="0" xfId="0" applyAlignment="1" applyBorder="1" applyFont="1">
      <alignment readingOrder="0" shrinkToFit="0" vertical="top" wrapText="0"/>
    </xf>
    <xf borderId="25" fillId="12" fontId="41" numFmtId="164" xfId="0" applyAlignment="1" applyBorder="1" applyFont="1" applyNumberFormat="1">
      <alignment readingOrder="0" shrinkToFit="0" vertical="top" wrapText="0"/>
    </xf>
    <xf borderId="8" fillId="11" fontId="44" numFmtId="49" xfId="0" applyAlignment="1" applyBorder="1" applyFont="1" applyNumberFormat="1">
      <alignment readingOrder="0" shrinkToFit="0" vertical="top" wrapText="1"/>
    </xf>
    <xf borderId="9" fillId="11" fontId="26" numFmtId="49" xfId="0" applyAlignment="1" applyBorder="1" applyFont="1" applyNumberFormat="1">
      <alignment readingOrder="0" shrinkToFit="0" vertical="top" wrapText="1"/>
    </xf>
    <xf borderId="9" fillId="11" fontId="41" numFmtId="0" xfId="0" applyAlignment="1" applyBorder="1" applyFont="1">
      <alignment shrinkToFit="0" vertical="top" wrapText="0"/>
    </xf>
    <xf borderId="9" fillId="11" fontId="41" numFmtId="0" xfId="0" applyAlignment="1" applyBorder="1" applyFont="1">
      <alignment readingOrder="0" shrinkToFit="0" vertical="top" wrapText="0"/>
    </xf>
    <xf borderId="10" fillId="11" fontId="41" numFmtId="0" xfId="0" applyAlignment="1" applyBorder="1" applyFont="1">
      <alignment readingOrder="0" shrinkToFit="0" vertical="top" wrapText="0"/>
    </xf>
    <xf borderId="10" fillId="12" fontId="46" numFmtId="0" xfId="0" applyAlignment="1" applyBorder="1" applyFont="1">
      <alignment shrinkToFit="0" vertical="top" wrapText="0"/>
    </xf>
    <xf borderId="0" fillId="11" fontId="41" numFmtId="0" xfId="0" applyAlignment="1" applyFont="1">
      <alignment readingOrder="0" shrinkToFit="0" vertical="top" wrapText="0"/>
    </xf>
    <xf borderId="0" fillId="11" fontId="41" numFmtId="164" xfId="0" applyAlignment="1" applyFont="1" applyNumberFormat="1">
      <alignment readingOrder="0" shrinkToFit="0" vertical="top" wrapText="0"/>
    </xf>
    <xf borderId="8" fillId="12" fontId="44" numFmtId="49" xfId="0" applyAlignment="1" applyBorder="1" applyFont="1" applyNumberFormat="1">
      <alignment readingOrder="0" shrinkToFit="0" vertical="top" wrapText="1"/>
    </xf>
    <xf borderId="9" fillId="12" fontId="41" numFmtId="0" xfId="0" applyAlignment="1" applyBorder="1" applyFont="1">
      <alignment shrinkToFit="0" vertical="top" wrapText="0"/>
    </xf>
    <xf borderId="10" fillId="12" fontId="41" numFmtId="0" xfId="0" applyAlignment="1" applyBorder="1" applyFont="1">
      <alignment readingOrder="0" shrinkToFit="0" vertical="top" wrapText="0"/>
    </xf>
    <xf borderId="10" fillId="11" fontId="46" numFmtId="0" xfId="0" applyAlignment="1" applyBorder="1" applyFont="1">
      <alignment shrinkToFit="0" vertical="top" wrapText="0"/>
    </xf>
    <xf borderId="0" fillId="12" fontId="41" numFmtId="0" xfId="0" applyAlignment="1" applyFont="1">
      <alignment readingOrder="0" shrinkToFit="0" vertical="top" wrapText="0"/>
    </xf>
    <xf borderId="9" fillId="11" fontId="23" numFmtId="0" xfId="0" applyAlignment="1" applyBorder="1" applyFont="1">
      <alignment readingOrder="0" shrinkToFit="0" vertical="top" wrapText="0"/>
    </xf>
    <xf borderId="10" fillId="11" fontId="23" numFmtId="0" xfId="0" applyAlignment="1" applyBorder="1" applyFont="1">
      <alignment readingOrder="0" shrinkToFit="0" vertical="top" wrapText="0"/>
    </xf>
    <xf borderId="10" fillId="12" fontId="42" numFmtId="0" xfId="0" applyAlignment="1" applyBorder="1" applyFont="1">
      <alignment shrinkToFit="0" vertical="top" wrapText="0"/>
    </xf>
    <xf borderId="0" fillId="11" fontId="23" numFmtId="0" xfId="0" applyAlignment="1" applyFont="1">
      <alignment readingOrder="0" shrinkToFit="0" vertical="top" wrapText="0"/>
    </xf>
    <xf borderId="9" fillId="11" fontId="25" numFmtId="49" xfId="0" applyAlignment="1" applyBorder="1" applyFont="1" applyNumberFormat="1">
      <alignment readingOrder="0" shrinkToFit="0" vertical="top" wrapText="1"/>
    </xf>
    <xf borderId="17" fillId="11" fontId="44" numFmtId="49" xfId="0" applyAlignment="1" applyBorder="1" applyFont="1" applyNumberFormat="1">
      <alignment readingOrder="0" shrinkToFit="0" vertical="top" wrapText="1"/>
    </xf>
    <xf borderId="18" fillId="11" fontId="25" numFmtId="49" xfId="0" applyAlignment="1" applyBorder="1" applyFont="1" applyNumberFormat="1">
      <alignment readingOrder="0" shrinkToFit="0" vertical="top" wrapText="1"/>
    </xf>
    <xf borderId="18" fillId="12" fontId="41" numFmtId="49" xfId="0" applyAlignment="1" applyBorder="1" applyFont="1" applyNumberFormat="1">
      <alignment readingOrder="0" shrinkToFit="0" vertical="top" wrapText="0"/>
    </xf>
    <xf borderId="18" fillId="12" fontId="41" numFmtId="0" xfId="0" applyAlignment="1" applyBorder="1" applyFont="1">
      <alignment readingOrder="0" shrinkToFit="0" vertical="top" wrapText="0"/>
    </xf>
    <xf borderId="18" fillId="11" fontId="41" numFmtId="0" xfId="0" applyAlignment="1" applyBorder="1" applyFont="1">
      <alignment shrinkToFit="0" vertical="top" wrapText="0"/>
    </xf>
    <xf borderId="18" fillId="11" fontId="41" numFmtId="0" xfId="0" applyAlignment="1" applyBorder="1" applyFont="1">
      <alignment readingOrder="0" shrinkToFit="0" vertical="top" wrapText="0"/>
    </xf>
    <xf borderId="19" fillId="11" fontId="41" numFmtId="0" xfId="0" applyAlignment="1" applyBorder="1" applyFont="1">
      <alignment readingOrder="0" shrinkToFit="0" vertical="top" wrapText="0"/>
    </xf>
    <xf borderId="17" fillId="12" fontId="27" numFmtId="49" xfId="0" applyAlignment="1" applyBorder="1" applyFont="1" applyNumberFormat="1">
      <alignment vertical="top"/>
    </xf>
    <xf borderId="22" fillId="11" fontId="47" numFmtId="49" xfId="0" applyAlignment="1" applyBorder="1" applyFont="1" applyNumberFormat="1">
      <alignment readingOrder="0" shrinkToFit="0" vertical="top" wrapText="0"/>
    </xf>
    <xf borderId="23" fillId="11" fontId="26" numFmtId="49" xfId="0" applyAlignment="1" applyBorder="1" applyFont="1" applyNumberFormat="1">
      <alignment readingOrder="0" shrinkToFit="0" vertical="top" wrapText="1"/>
    </xf>
    <xf borderId="23" fillId="11" fontId="41" numFmtId="49" xfId="0" applyAlignment="1" applyBorder="1" applyFont="1" applyNumberFormat="1">
      <alignment readingOrder="0" shrinkToFit="0" vertical="top" wrapText="0"/>
    </xf>
    <xf borderId="23" fillId="11" fontId="41" numFmtId="0" xfId="0" applyAlignment="1" applyBorder="1" applyFont="1">
      <alignment readingOrder="0" shrinkToFit="0" vertical="top" wrapText="0"/>
    </xf>
    <xf borderId="23" fillId="11" fontId="27" numFmtId="0" xfId="0" applyAlignment="1" applyBorder="1" applyFont="1">
      <alignment vertical="top"/>
    </xf>
    <xf borderId="8" fillId="11" fontId="47" numFmtId="49" xfId="0" applyAlignment="1" applyBorder="1" applyFont="1" applyNumberFormat="1">
      <alignment readingOrder="0" shrinkToFit="0" vertical="top" wrapText="0"/>
    </xf>
    <xf borderId="9" fillId="11" fontId="43" numFmtId="49" xfId="0" applyAlignment="1" applyBorder="1" applyFont="1" applyNumberFormat="1">
      <alignment readingOrder="0" shrinkToFit="0" vertical="top" wrapText="1"/>
    </xf>
    <xf borderId="9" fillId="11" fontId="41" numFmtId="49" xfId="0" applyAlignment="1" applyBorder="1" applyFont="1" applyNumberFormat="1">
      <alignment readingOrder="0" shrinkToFit="0" vertical="top" wrapText="0"/>
    </xf>
    <xf borderId="9" fillId="11" fontId="27" numFmtId="0" xfId="0" applyAlignment="1" applyBorder="1" applyFont="1">
      <alignment vertical="top"/>
    </xf>
    <xf borderId="21" fillId="11" fontId="26" numFmtId="49" xfId="0" applyAlignment="1" applyBorder="1" applyFont="1" applyNumberFormat="1">
      <alignment readingOrder="0" shrinkToFit="0" vertical="top" wrapText="1"/>
    </xf>
    <xf borderId="22" fillId="11" fontId="26" numFmtId="49" xfId="0" applyAlignment="1" applyBorder="1" applyFont="1" applyNumberFormat="1">
      <alignment readingOrder="0" shrinkToFit="0" vertical="top" wrapText="1"/>
    </xf>
    <xf borderId="26" fillId="11" fontId="26" numFmtId="49" xfId="0" applyAlignment="1" applyBorder="1" applyFont="1" applyNumberFormat="1">
      <alignment readingOrder="0" shrinkToFit="0" vertical="top" wrapText="1"/>
    </xf>
    <xf borderId="26" fillId="11" fontId="27" numFmtId="0" xfId="0" applyAlignment="1" applyBorder="1" applyFont="1">
      <alignment readingOrder="0" vertical="top"/>
    </xf>
    <xf borderId="26" fillId="11" fontId="41" numFmtId="49" xfId="0" applyAlignment="1" applyBorder="1" applyFont="1" applyNumberFormat="1">
      <alignment readingOrder="0" shrinkToFit="0" vertical="top" wrapText="0"/>
    </xf>
    <xf borderId="26" fillId="11" fontId="41" numFmtId="0" xfId="0" applyAlignment="1" applyBorder="1" applyFont="1">
      <alignment readingOrder="0" shrinkToFit="0" vertical="top" wrapText="0"/>
    </xf>
    <xf borderId="26" fillId="12" fontId="41" numFmtId="49" xfId="0" applyAlignment="1" applyBorder="1" applyFont="1" applyNumberFormat="1">
      <alignment readingOrder="0" shrinkToFit="0" vertical="top" wrapText="0"/>
    </xf>
    <xf borderId="26" fillId="11" fontId="41" numFmtId="0" xfId="0" applyAlignment="1" applyBorder="1" applyFont="1">
      <alignment shrinkToFit="0" vertical="top" wrapText="0"/>
    </xf>
    <xf borderId="27" fillId="11" fontId="41" numFmtId="0" xfId="0" applyAlignment="1" applyBorder="1" applyFont="1">
      <alignment readingOrder="0" shrinkToFit="0" vertical="top" wrapText="0"/>
    </xf>
    <xf borderId="27" fillId="12" fontId="46" numFmtId="0" xfId="0" applyAlignment="1" applyBorder="1" applyFont="1">
      <alignment shrinkToFit="0" vertical="top" wrapText="0"/>
    </xf>
    <xf borderId="25" fillId="11" fontId="41" numFmtId="0" xfId="0" applyAlignment="1" applyBorder="1" applyFont="1">
      <alignment readingOrder="0" shrinkToFit="0" vertical="top" wrapText="0"/>
    </xf>
    <xf borderId="25" fillId="11" fontId="41" numFmtId="164" xfId="0" applyAlignment="1" applyBorder="1" applyFont="1" applyNumberFormat="1">
      <alignment readingOrder="0" shrinkToFit="0" vertical="top" wrapText="0"/>
    </xf>
    <xf borderId="3" fillId="11" fontId="26" numFmtId="49" xfId="0" applyAlignment="1" applyBorder="1" applyFont="1" applyNumberFormat="1">
      <alignment readingOrder="0" shrinkToFit="0" vertical="top" wrapText="1"/>
    </xf>
    <xf borderId="14" fillId="11" fontId="26" numFmtId="49" xfId="0" applyAlignment="1" applyBorder="1" applyFont="1" applyNumberFormat="1">
      <alignment readingOrder="0" shrinkToFit="0" vertical="top" wrapText="1"/>
    </xf>
    <xf borderId="15" fillId="11" fontId="26" numFmtId="49" xfId="0" applyAlignment="1" applyBorder="1" applyFont="1" applyNumberFormat="1">
      <alignment readingOrder="0" shrinkToFit="0" vertical="top" wrapText="1"/>
    </xf>
    <xf borderId="15" fillId="11" fontId="41" numFmtId="49" xfId="0" applyAlignment="1" applyBorder="1" applyFont="1" applyNumberFormat="1">
      <alignment readingOrder="0" shrinkToFit="0" vertical="top" wrapText="0"/>
    </xf>
    <xf borderId="15" fillId="11" fontId="41" numFmtId="0" xfId="0" applyAlignment="1" applyBorder="1" applyFont="1">
      <alignment readingOrder="0" shrinkToFit="0" vertical="top" wrapText="0"/>
    </xf>
    <xf borderId="15" fillId="11" fontId="41" numFmtId="0" xfId="0" applyAlignment="1" applyBorder="1" applyFont="1">
      <alignment shrinkToFit="0" vertical="top" wrapText="0"/>
    </xf>
    <xf borderId="16" fillId="11" fontId="41" numFmtId="0" xfId="0" applyAlignment="1" applyBorder="1" applyFont="1">
      <alignment readingOrder="0" shrinkToFit="0" vertical="top" wrapText="0"/>
    </xf>
    <xf borderId="16" fillId="11" fontId="46" numFmtId="0" xfId="0" applyAlignment="1" applyBorder="1" applyFont="1">
      <alignment shrinkToFit="0" vertical="top" wrapText="0"/>
    </xf>
    <xf borderId="28" fillId="11" fontId="27" numFmtId="0" xfId="0" applyAlignment="1" applyBorder="1" applyFont="1">
      <alignment readingOrder="0" vertical="top"/>
    </xf>
    <xf borderId="18" fillId="11" fontId="41" numFmtId="49" xfId="0" applyAlignment="1" applyBorder="1" applyFont="1" applyNumberFormat="1">
      <alignment readingOrder="0" shrinkToFit="0" vertical="top" wrapText="0"/>
    </xf>
    <xf borderId="28" fillId="11" fontId="41" numFmtId="0" xfId="0" applyAlignment="1" applyBorder="1" applyFont="1">
      <alignment shrinkToFit="0" vertical="top" wrapText="0"/>
    </xf>
    <xf borderId="28" fillId="11" fontId="41" numFmtId="0" xfId="0" applyAlignment="1" applyBorder="1" applyFont="1">
      <alignment readingOrder="0" shrinkToFit="0" vertical="top" wrapText="0"/>
    </xf>
    <xf borderId="29" fillId="11" fontId="41" numFmtId="0" xfId="0" applyAlignment="1" applyBorder="1" applyFont="1">
      <alignment readingOrder="0" shrinkToFit="0" vertical="top" wrapText="0"/>
    </xf>
    <xf borderId="29" fillId="12" fontId="46" numFmtId="0" xfId="0" applyAlignment="1" applyBorder="1" applyFont="1">
      <alignment shrinkToFit="0" vertical="top" wrapText="0"/>
    </xf>
    <xf borderId="18" fillId="11" fontId="26" numFmtId="49" xfId="0" applyAlignment="1" applyBorder="1" applyFont="1" applyNumberFormat="1">
      <alignment readingOrder="0" shrinkToFit="0" vertical="top" wrapText="1"/>
    </xf>
    <xf borderId="19" fillId="12" fontId="46" numFmtId="0" xfId="0" applyAlignment="1" applyBorder="1" applyFont="1">
      <alignment shrinkToFit="0" vertical="top" wrapText="0"/>
    </xf>
    <xf borderId="19" fillId="11" fontId="46" numFmtId="0" xfId="0" applyAlignment="1" applyBorder="1" applyFont="1">
      <alignment shrinkToFit="0" vertical="top" wrapText="0"/>
    </xf>
    <xf borderId="18" fillId="11" fontId="43" numFmtId="49" xfId="0" applyAlignment="1" applyBorder="1" applyFont="1" applyNumberFormat="1">
      <alignment readingOrder="0" shrinkToFit="0" vertical="top" wrapText="1"/>
    </xf>
    <xf borderId="23" fillId="11" fontId="22" numFmtId="49" xfId="0" applyAlignment="1" applyBorder="1" applyFont="1" applyNumberFormat="1">
      <alignment readingOrder="0" shrinkToFit="0" vertical="top" wrapText="1"/>
    </xf>
    <xf borderId="23" fillId="12" fontId="41" numFmtId="49" xfId="0" applyAlignment="1" applyBorder="1" applyFont="1" applyNumberFormat="1">
      <alignment shrinkToFit="0" vertical="top" wrapText="0"/>
    </xf>
    <xf borderId="15" fillId="11" fontId="22" numFmtId="49" xfId="0" applyAlignment="1" applyBorder="1" applyFont="1" applyNumberFormat="1">
      <alignment readingOrder="0" shrinkToFit="0" vertical="top" wrapText="1"/>
    </xf>
    <xf borderId="9" fillId="11" fontId="23" numFmtId="49" xfId="0" applyAlignment="1" applyBorder="1" applyFont="1" applyNumberFormat="1">
      <alignment readingOrder="0" shrinkToFit="0" vertical="top" wrapText="0"/>
    </xf>
    <xf borderId="9" fillId="11" fontId="23" numFmtId="0" xfId="0" applyAlignment="1" applyBorder="1" applyFont="1">
      <alignment shrinkToFit="0" vertical="top" wrapText="0"/>
    </xf>
    <xf borderId="0" fillId="12" fontId="41" numFmtId="164" xfId="0" applyAlignment="1" applyFont="1" applyNumberFormat="1">
      <alignment readingOrder="0" shrinkToFit="0" vertical="top" wrapText="0"/>
    </xf>
    <xf borderId="10" fillId="11" fontId="42" numFmtId="0" xfId="0" applyAlignment="1" applyBorder="1" applyFont="1">
      <alignment shrinkToFit="0" vertical="top" wrapText="0"/>
    </xf>
    <xf borderId="17" fillId="11" fontId="26" numFmtId="49" xfId="0" applyAlignment="1" applyBorder="1" applyFont="1" applyNumberFormat="1">
      <alignment shrinkToFit="0" vertical="top" wrapText="1"/>
    </xf>
    <xf borderId="18" fillId="11" fontId="22" numFmtId="49" xfId="0" applyAlignment="1" applyBorder="1" applyFont="1" applyNumberFormat="1">
      <alignment shrinkToFit="0" vertical="top" wrapText="1"/>
    </xf>
    <xf borderId="18" fillId="11" fontId="23" numFmtId="49" xfId="0" applyAlignment="1" applyBorder="1" applyFont="1" applyNumberFormat="1">
      <alignment shrinkToFit="0" vertical="top" wrapText="0"/>
    </xf>
    <xf borderId="18" fillId="11" fontId="23" numFmtId="0" xfId="0" applyAlignment="1" applyBorder="1" applyFont="1">
      <alignment shrinkToFit="0" vertical="top" wrapText="0"/>
    </xf>
    <xf borderId="19" fillId="11" fontId="23" numFmtId="0" xfId="0" applyAlignment="1" applyBorder="1" applyFont="1">
      <alignment shrinkToFit="0" vertical="top" wrapText="0"/>
    </xf>
    <xf borderId="20" fillId="11" fontId="23" numFmtId="0" xfId="0" applyAlignment="1" applyBorder="1" applyFont="1">
      <alignment shrinkToFit="0" vertical="top" wrapText="0"/>
    </xf>
    <xf borderId="23" fillId="11" fontId="23" numFmtId="0" xfId="0" applyAlignment="1" applyBorder="1" applyFont="1">
      <alignment readingOrder="0" shrinkToFit="0" vertical="top" wrapText="0"/>
    </xf>
    <xf borderId="23" fillId="11" fontId="23" numFmtId="49" xfId="0" applyAlignment="1" applyBorder="1" applyFont="1" applyNumberFormat="1">
      <alignment readingOrder="0" shrinkToFit="0" vertical="top" wrapText="0"/>
    </xf>
    <xf borderId="23" fillId="11" fontId="23" numFmtId="0" xfId="0" applyAlignment="1" applyBorder="1" applyFont="1">
      <alignment shrinkToFit="0" vertical="top" wrapText="0"/>
    </xf>
    <xf borderId="27" fillId="11" fontId="23" numFmtId="0" xfId="0" applyAlignment="1" applyBorder="1" applyFont="1">
      <alignment readingOrder="0" shrinkToFit="0" vertical="top" wrapText="0"/>
    </xf>
    <xf borderId="27" fillId="12" fontId="42" numFmtId="0" xfId="0" applyAlignment="1" applyBorder="1" applyFont="1">
      <alignment shrinkToFit="0" vertical="top" wrapText="0"/>
    </xf>
    <xf borderId="0" fillId="11" fontId="23" numFmtId="164" xfId="0" applyAlignment="1" applyFont="1" applyNumberFormat="1">
      <alignment readingOrder="0" shrinkToFit="0" vertical="top" wrapText="0"/>
    </xf>
    <xf borderId="29" fillId="11" fontId="23" numFmtId="0" xfId="0" applyAlignment="1" applyBorder="1" applyFont="1">
      <alignment readingOrder="0" shrinkToFit="0" vertical="top" wrapText="0"/>
    </xf>
    <xf borderId="29" fillId="11" fontId="42" numFmtId="0" xfId="0" applyAlignment="1" applyBorder="1" applyFont="1">
      <alignment shrinkToFit="0" vertical="top" wrapText="0"/>
    </xf>
    <xf borderId="16" fillId="11" fontId="23" numFmtId="0" xfId="0" applyAlignment="1" applyBorder="1" applyFont="1">
      <alignment readingOrder="0" shrinkToFit="0" vertical="top" wrapText="0"/>
    </xf>
    <xf borderId="16" fillId="12" fontId="42" numFmtId="0" xfId="0" applyAlignment="1" applyBorder="1" applyFont="1">
      <alignment shrinkToFit="0" vertical="top" wrapText="0"/>
    </xf>
    <xf borderId="0" fillId="11" fontId="23" numFmtId="0" xfId="0" applyAlignment="1" applyFont="1">
      <alignment shrinkToFit="0" vertical="top" wrapText="0"/>
    </xf>
    <xf borderId="21" fillId="11" fontId="22" numFmtId="49" xfId="0" applyAlignment="1" applyBorder="1" applyFont="1" applyNumberFormat="1">
      <alignment readingOrder="0" shrinkToFit="0" vertical="top" wrapText="1"/>
    </xf>
    <xf borderId="24" fillId="11" fontId="23" numFmtId="0" xfId="0" applyAlignment="1" applyBorder="1" applyFont="1">
      <alignment readingOrder="0" shrinkToFit="0" vertical="top" wrapText="0"/>
    </xf>
    <xf borderId="24" fillId="11" fontId="42" numFmtId="0" xfId="0" applyAlignment="1" applyBorder="1" applyFont="1">
      <alignment shrinkToFit="0" vertical="top" wrapText="0"/>
    </xf>
    <xf borderId="25" fillId="11" fontId="23" numFmtId="0" xfId="0" applyAlignment="1" applyBorder="1" applyFont="1">
      <alignment readingOrder="0" shrinkToFit="0" vertical="top" wrapText="0"/>
    </xf>
    <xf borderId="25" fillId="11" fontId="23" numFmtId="164" xfId="0" applyAlignment="1" applyBorder="1" applyFont="1" applyNumberFormat="1">
      <alignment readingOrder="0" shrinkToFit="0" vertical="top" wrapText="0"/>
    </xf>
    <xf borderId="25" fillId="11" fontId="23" numFmtId="173" xfId="0" applyAlignment="1" applyBorder="1" applyFont="1" applyNumberFormat="1">
      <alignment readingOrder="0" shrinkToFit="0" vertical="top" wrapText="0"/>
    </xf>
    <xf borderId="0" fillId="11" fontId="23" numFmtId="173" xfId="0" applyAlignment="1" applyFont="1" applyNumberFormat="1">
      <alignment readingOrder="0" shrinkToFit="0" vertical="top" wrapText="0"/>
    </xf>
    <xf borderId="18" fillId="11" fontId="23" numFmtId="49" xfId="0" applyAlignment="1" applyBorder="1" applyFont="1" applyNumberFormat="1">
      <alignment readingOrder="0" shrinkToFit="0" vertical="top" wrapText="0"/>
    </xf>
    <xf borderId="26" fillId="11" fontId="22" numFmtId="49" xfId="0" applyAlignment="1" applyBorder="1" applyFont="1" applyNumberFormat="1">
      <alignment readingOrder="0" shrinkToFit="0" vertical="top" wrapText="1"/>
    </xf>
    <xf borderId="26" fillId="11" fontId="23" numFmtId="49" xfId="0" applyAlignment="1" applyBorder="1" applyFont="1" applyNumberFormat="1">
      <alignment readingOrder="0" shrinkToFit="0" vertical="top" wrapText="0"/>
    </xf>
    <xf borderId="26" fillId="11" fontId="23" numFmtId="0" xfId="0" applyAlignment="1" applyBorder="1" applyFont="1">
      <alignment readingOrder="0" shrinkToFit="0" vertical="top" wrapText="0"/>
    </xf>
    <xf borderId="24" fillId="12" fontId="42" numFmtId="0" xfId="0" applyAlignment="1" applyBorder="1" applyFont="1">
      <alignment shrinkToFit="0" vertical="top" wrapText="0"/>
    </xf>
    <xf borderId="30" fillId="11" fontId="26" numFmtId="49" xfId="0" applyAlignment="1" applyBorder="1" applyFont="1" applyNumberFormat="1">
      <alignment readingOrder="0" shrinkToFit="0" vertical="top" wrapText="1"/>
    </xf>
    <xf borderId="28" fillId="11" fontId="23" numFmtId="49" xfId="0" applyAlignment="1" applyBorder="1" applyFont="1" applyNumberFormat="1">
      <alignment readingOrder="0" shrinkToFit="0" vertical="top" wrapText="0"/>
    </xf>
    <xf borderId="28" fillId="11" fontId="23" numFmtId="0" xfId="0" applyAlignment="1" applyBorder="1" applyFont="1">
      <alignment readingOrder="0" shrinkToFit="0" vertical="top" wrapText="0"/>
    </xf>
    <xf borderId="28" fillId="11" fontId="23" numFmtId="0" xfId="0" applyAlignment="1" applyBorder="1" applyFont="1">
      <alignment shrinkToFit="0" vertical="top" wrapText="0"/>
    </xf>
    <xf borderId="28" fillId="11" fontId="22" numFmtId="49" xfId="0" applyAlignment="1" applyBorder="1" applyFont="1" applyNumberFormat="1">
      <alignment readingOrder="0" shrinkToFit="0" vertical="top" wrapText="1"/>
    </xf>
    <xf borderId="29" fillId="12" fontId="42" numFmtId="0" xfId="0" applyAlignment="1" applyBorder="1" applyFont="1">
      <alignment shrinkToFit="0" vertical="top" wrapText="0"/>
    </xf>
    <xf borderId="9" fillId="11" fontId="48" numFmtId="0" xfId="0" applyAlignment="1" applyBorder="1" applyFont="1">
      <alignment readingOrder="0" shrinkToFit="0" vertical="top" wrapText="0"/>
    </xf>
    <xf borderId="31" fillId="12" fontId="26" numFmtId="49" xfId="0" applyAlignment="1" applyBorder="1" applyFont="1" applyNumberFormat="1">
      <alignment readingOrder="0" shrinkToFit="0" vertical="top" wrapText="1"/>
    </xf>
    <xf borderId="32" fillId="11" fontId="26" numFmtId="49" xfId="0" applyAlignment="1" applyBorder="1" applyFont="1" applyNumberFormat="1">
      <alignment readingOrder="0" shrinkToFit="0" vertical="top" wrapText="1"/>
    </xf>
    <xf borderId="33" fillId="11" fontId="22" numFmtId="49" xfId="0" applyAlignment="1" applyBorder="1" applyFont="1" applyNumberFormat="1">
      <alignment readingOrder="0" shrinkToFit="0" vertical="top" wrapText="1"/>
    </xf>
    <xf borderId="33" fillId="11" fontId="27" numFmtId="0" xfId="0" applyAlignment="1" applyBorder="1" applyFont="1">
      <alignment readingOrder="0" vertical="top"/>
    </xf>
    <xf borderId="33" fillId="11" fontId="23" numFmtId="49" xfId="0" applyAlignment="1" applyBorder="1" applyFont="1" applyNumberFormat="1">
      <alignment shrinkToFit="0" vertical="top" wrapText="0"/>
    </xf>
    <xf borderId="33" fillId="11" fontId="23" numFmtId="0" xfId="0" applyAlignment="1" applyBorder="1" applyFont="1">
      <alignment shrinkToFit="0" vertical="top" wrapText="0"/>
    </xf>
    <xf borderId="33" fillId="11" fontId="23" numFmtId="49" xfId="0" applyAlignment="1" applyBorder="1" applyFont="1" applyNumberFormat="1">
      <alignment readingOrder="0" shrinkToFit="0" vertical="top" wrapText="0"/>
    </xf>
    <xf borderId="34" fillId="11" fontId="23" numFmtId="0" xfId="0" applyAlignment="1" applyBorder="1" applyFont="1">
      <alignment shrinkToFit="0" vertical="top" wrapText="0"/>
    </xf>
    <xf borderId="34" fillId="11" fontId="32" numFmtId="0" xfId="0" applyAlignment="1" applyBorder="1" applyFont="1">
      <alignment vertical="top"/>
    </xf>
    <xf borderId="0" fillId="11" fontId="26" numFmtId="49" xfId="0" applyAlignment="1" applyFont="1" applyNumberFormat="1">
      <alignment readingOrder="0" shrinkToFit="0" vertical="top" wrapText="1"/>
    </xf>
    <xf borderId="0" fillId="11" fontId="25" numFmtId="49" xfId="0" applyAlignment="1" applyFont="1" applyNumberFormat="1">
      <alignment readingOrder="0" shrinkToFit="0" vertical="top" wrapText="1"/>
    </xf>
    <xf borderId="0" fillId="11" fontId="23" numFmtId="49" xfId="0" applyAlignment="1" applyFont="1" applyNumberFormat="1">
      <alignment shrinkToFit="0" vertical="top" wrapText="0"/>
    </xf>
    <xf borderId="0" fillId="11" fontId="23" numFmtId="49" xfId="0" applyAlignment="1" applyFont="1" applyNumberFormat="1">
      <alignment readingOrder="0" shrinkToFit="0" vertical="top" wrapText="0"/>
    </xf>
    <xf borderId="0" fillId="11" fontId="32" numFmtId="0" xfId="0" applyAlignment="1" applyFont="1">
      <alignment vertical="top"/>
    </xf>
    <xf borderId="25" fillId="11" fontId="26" numFmtId="49" xfId="0" applyAlignment="1" applyBorder="1" applyFont="1" applyNumberFormat="1">
      <alignment readingOrder="0" shrinkToFit="0" vertical="top" wrapText="1"/>
    </xf>
    <xf borderId="25" fillId="11" fontId="22" numFmtId="49" xfId="0" applyAlignment="1" applyBorder="1" applyFont="1" applyNumberFormat="1">
      <alignment readingOrder="0" shrinkToFit="0" vertical="top" wrapText="1"/>
    </xf>
    <xf borderId="25" fillId="11" fontId="23" numFmtId="49" xfId="0" applyAlignment="1" applyBorder="1" applyFont="1" applyNumberFormat="1">
      <alignment shrinkToFit="0" vertical="top" wrapText="0"/>
    </xf>
    <xf borderId="25" fillId="11" fontId="23" numFmtId="0" xfId="0" applyAlignment="1" applyBorder="1" applyFont="1">
      <alignment shrinkToFit="0" vertical="top" wrapText="0"/>
    </xf>
    <xf borderId="25" fillId="11" fontId="23" numFmtId="49" xfId="0" applyAlignment="1" applyBorder="1" applyFont="1" applyNumberFormat="1">
      <alignment readingOrder="0" shrinkToFit="0" vertical="top" wrapText="0"/>
    </xf>
    <xf borderId="25" fillId="12" fontId="32" numFmtId="0" xfId="0" applyAlignment="1" applyBorder="1" applyFont="1">
      <alignment vertical="top"/>
    </xf>
    <xf borderId="0" fillId="11" fontId="2" numFmtId="0" xfId="0" applyAlignment="1" applyFont="1">
      <alignment readingOrder="0"/>
    </xf>
    <xf borderId="0" fillId="12" fontId="49" numFmtId="49" xfId="0" applyAlignment="1" applyFont="1" applyNumberFormat="1">
      <alignment readingOrder="0" shrinkToFit="0" vertical="top" wrapText="1"/>
    </xf>
    <xf borderId="15" fillId="12" fontId="22" numFmtId="0" xfId="0" applyAlignment="1" applyBorder="1" applyFont="1">
      <alignment shrinkToFit="0" vertical="top" wrapText="1"/>
    </xf>
    <xf borderId="15" fillId="12" fontId="41" numFmtId="49" xfId="0" applyAlignment="1" applyBorder="1" applyFont="1" applyNumberFormat="1">
      <alignment shrinkToFit="0" vertical="top" wrapText="0"/>
    </xf>
    <xf borderId="15" fillId="12" fontId="41" numFmtId="49" xfId="0" applyAlignment="1" applyBorder="1" applyFont="1" applyNumberFormat="1">
      <alignment readingOrder="0" shrinkToFit="0" vertical="top" wrapText="0"/>
    </xf>
    <xf borderId="0" fillId="12" fontId="50" numFmtId="0" xfId="0" applyAlignment="1" applyFont="1">
      <alignment readingOrder="0" shrinkToFit="0" vertical="top" wrapText="1"/>
    </xf>
    <xf borderId="0" fillId="12" fontId="51" numFmtId="0" xfId="0" applyAlignment="1" applyFont="1">
      <alignment readingOrder="0" shrinkToFit="0" vertical="top" wrapText="1"/>
    </xf>
    <xf borderId="14" fillId="12" fontId="41" numFmtId="49" xfId="0" applyAlignment="1" applyBorder="1" applyFont="1" applyNumberFormat="1">
      <alignment shrinkToFit="0" vertical="top" wrapText="1"/>
    </xf>
    <xf borderId="0" fillId="12" fontId="41" numFmtId="49" xfId="0" applyAlignment="1" applyFont="1" applyNumberFormat="1">
      <alignment shrinkToFit="0" vertical="top" wrapText="1"/>
    </xf>
    <xf borderId="0" fillId="12" fontId="41" numFmtId="49" xfId="0" applyAlignment="1" applyFont="1" applyNumberFormat="1">
      <alignment readingOrder="0" shrinkToFit="0" vertical="top" wrapText="1"/>
    </xf>
    <xf borderId="0" fillId="11" fontId="49" numFmtId="49" xfId="0" applyAlignment="1" applyFont="1" applyNumberFormat="1">
      <alignment readingOrder="0" shrinkToFit="0" vertical="top" wrapText="1"/>
    </xf>
    <xf borderId="9" fillId="11" fontId="22" numFmtId="0" xfId="0" applyAlignment="1" applyBorder="1" applyFont="1">
      <alignment shrinkToFit="0" vertical="top" wrapText="1"/>
    </xf>
    <xf borderId="9" fillId="11" fontId="41" numFmtId="49" xfId="0" applyAlignment="1" applyBorder="1" applyFont="1" applyNumberFormat="1">
      <alignment shrinkToFit="0" vertical="top" wrapText="0"/>
    </xf>
    <xf borderId="9" fillId="11" fontId="41" numFmtId="49" xfId="0" applyAlignment="1" applyBorder="1" applyFont="1" applyNumberFormat="1">
      <alignment readingOrder="0" shrinkToFit="0" vertical="top" wrapText="0"/>
    </xf>
    <xf borderId="0" fillId="11" fontId="50" numFmtId="0" xfId="0" applyAlignment="1" applyFont="1">
      <alignment readingOrder="0" shrinkToFit="0" vertical="top" wrapText="1"/>
    </xf>
    <xf borderId="0" fillId="11" fontId="51" numFmtId="0" xfId="0" applyAlignment="1" applyFont="1">
      <alignment readingOrder="0" shrinkToFit="0" vertical="top" wrapText="1"/>
    </xf>
    <xf borderId="8" fillId="11" fontId="23" numFmtId="49" xfId="0" applyAlignment="1" applyBorder="1" applyFont="1" applyNumberFormat="1">
      <alignment shrinkToFit="0" vertical="top" wrapText="1"/>
    </xf>
    <xf borderId="0" fillId="11" fontId="23" numFmtId="49" xfId="0" applyAlignment="1" applyFont="1" applyNumberFormat="1">
      <alignment shrinkToFit="0" vertical="top" wrapText="1"/>
    </xf>
    <xf borderId="0" fillId="11" fontId="41" numFmtId="49" xfId="0" applyAlignment="1" applyFont="1" applyNumberFormat="1">
      <alignment readingOrder="0" shrinkToFit="0" vertical="top" wrapText="1"/>
    </xf>
    <xf borderId="9" fillId="12" fontId="22" numFmtId="0" xfId="0" applyAlignment="1" applyBorder="1" applyFont="1">
      <alignment shrinkToFit="0" vertical="top" wrapText="1"/>
    </xf>
    <xf borderId="9" fillId="12" fontId="41" numFmtId="49" xfId="0" applyAlignment="1" applyBorder="1" applyFont="1" applyNumberFormat="1">
      <alignment shrinkToFit="0" vertical="top" wrapText="0"/>
    </xf>
    <xf borderId="9" fillId="12" fontId="41" numFmtId="49" xfId="0" applyAlignment="1" applyBorder="1" applyFont="1" applyNumberFormat="1">
      <alignment readingOrder="0" shrinkToFit="0" vertical="top" wrapText="0"/>
    </xf>
    <xf borderId="8" fillId="12" fontId="23" numFmtId="49" xfId="0" applyAlignment="1" applyBorder="1" applyFont="1" applyNumberFormat="1">
      <alignment shrinkToFit="0" vertical="top" wrapText="1"/>
    </xf>
    <xf borderId="0" fillId="12" fontId="23" numFmtId="49" xfId="0" applyAlignment="1" applyFont="1" applyNumberFormat="1">
      <alignment shrinkToFit="0" vertical="top" wrapText="1"/>
    </xf>
    <xf borderId="0" fillId="11" fontId="23" numFmtId="49" xfId="0" applyAlignment="1" applyFont="1" applyNumberFormat="1">
      <alignment readingOrder="0" shrinkToFit="0" vertical="top" wrapText="1"/>
    </xf>
    <xf borderId="0" fillId="12" fontId="23" numFmtId="49" xfId="0" applyAlignment="1" applyFont="1" applyNumberFormat="1">
      <alignment readingOrder="0" shrinkToFit="0" vertical="top" wrapText="1"/>
    </xf>
    <xf borderId="0" fillId="11" fontId="22" numFmtId="0" xfId="0" applyAlignment="1" applyFont="1">
      <alignment readingOrder="0" shrinkToFit="0" vertical="top" wrapText="1"/>
    </xf>
    <xf borderId="0" fillId="11" fontId="27" numFmtId="0" xfId="0" applyAlignment="1" applyFont="1">
      <alignment readingOrder="0" vertical="top"/>
    </xf>
    <xf borderId="18" fillId="11" fontId="41" numFmtId="49" xfId="0" applyAlignment="1" applyBorder="1" applyFont="1" applyNumberFormat="1">
      <alignment readingOrder="0" shrinkToFit="0" vertical="top" wrapText="0"/>
    </xf>
    <xf borderId="0" fillId="11" fontId="41" numFmtId="49" xfId="0" applyAlignment="1" applyFont="1" applyNumberFormat="1">
      <alignment shrinkToFit="0" vertical="top" wrapText="0"/>
    </xf>
    <xf borderId="0" fillId="12" fontId="25" numFmtId="0" xfId="0" applyAlignment="1" applyFont="1">
      <alignment readingOrder="0" shrinkToFit="0" vertical="top" wrapText="1"/>
    </xf>
    <xf borderId="0" fillId="12" fontId="27" numFmtId="0" xfId="0" applyAlignment="1" applyFont="1">
      <alignment readingOrder="0" vertical="top"/>
    </xf>
    <xf borderId="18" fillId="12" fontId="41" numFmtId="49" xfId="0" applyAlignment="1" applyBorder="1" applyFont="1" applyNumberFormat="1">
      <alignment readingOrder="0" shrinkToFit="0" vertical="top" wrapText="0"/>
    </xf>
    <xf borderId="0" fillId="12" fontId="41" numFmtId="49" xfId="0" applyAlignment="1" applyFont="1" applyNumberFormat="1">
      <alignment shrinkToFit="0" vertical="top" wrapText="0"/>
    </xf>
    <xf borderId="0" fillId="11" fontId="25" numFmtId="0" xfId="0" applyAlignment="1" applyFont="1">
      <alignment readingOrder="0" shrinkToFit="0" vertical="top" wrapText="1"/>
    </xf>
    <xf borderId="20" fillId="11" fontId="49" numFmtId="49" xfId="0" applyAlignment="1" applyBorder="1" applyFont="1" applyNumberFormat="1">
      <alignment readingOrder="0" shrinkToFit="0" vertical="top" wrapText="1"/>
    </xf>
    <xf borderId="20" fillId="11" fontId="49" numFmtId="0" xfId="0" applyAlignment="1" applyBorder="1" applyFont="1">
      <alignment readingOrder="0" shrinkToFit="0" vertical="top" wrapText="1"/>
    </xf>
    <xf borderId="20" fillId="11" fontId="3" numFmtId="0" xfId="0" applyAlignment="1" applyBorder="1" applyFont="1">
      <alignment readingOrder="0" vertical="top"/>
    </xf>
    <xf borderId="33" fillId="11" fontId="41" numFmtId="49" xfId="0" applyAlignment="1" applyBorder="1" applyFont="1" applyNumberFormat="1">
      <alignment readingOrder="0" shrinkToFit="0" vertical="top" wrapText="0"/>
    </xf>
    <xf borderId="20" fillId="11" fontId="3" numFmtId="49" xfId="0" applyAlignment="1" applyBorder="1" applyFont="1" applyNumberFormat="1">
      <alignment readingOrder="0" vertical="top"/>
    </xf>
    <xf borderId="20" fillId="11" fontId="50" numFmtId="0" xfId="0" applyAlignment="1" applyBorder="1" applyFont="1">
      <alignment readingOrder="0" shrinkToFit="0" vertical="top" wrapText="1"/>
    </xf>
    <xf borderId="20" fillId="11" fontId="51" numFmtId="0" xfId="0" applyAlignment="1" applyBorder="1" applyFont="1">
      <alignment readingOrder="0" shrinkToFit="0" vertical="top" wrapText="1"/>
    </xf>
    <xf borderId="20" fillId="11" fontId="3" numFmtId="0" xfId="0" applyAlignment="1" applyBorder="1" applyFont="1">
      <alignment readingOrder="0" shrinkToFit="0" vertical="top" wrapText="1"/>
    </xf>
    <xf borderId="0" fillId="12" fontId="49" numFmtId="0" xfId="0" applyAlignment="1" applyFont="1">
      <alignment readingOrder="0" shrinkToFit="0" vertical="top" wrapText="1"/>
    </xf>
    <xf borderId="0" fillId="12" fontId="3" numFmtId="0" xfId="0" applyAlignment="1" applyFont="1">
      <alignment readingOrder="0" vertical="top"/>
    </xf>
    <xf borderId="0" fillId="12" fontId="52" numFmtId="0" xfId="0" applyAlignment="1" applyFont="1">
      <alignment readingOrder="0" shrinkToFit="0" vertical="top" wrapText="0"/>
    </xf>
    <xf borderId="0" fillId="12" fontId="3" numFmtId="0" xfId="0" applyAlignment="1" applyFont="1">
      <alignment readingOrder="0" shrinkToFit="0" vertical="top" wrapText="1"/>
    </xf>
    <xf borderId="0" fillId="11" fontId="49" numFmtId="0" xfId="0" applyAlignment="1" applyFont="1">
      <alignment readingOrder="0" shrinkToFit="0" vertical="top" wrapText="1"/>
    </xf>
    <xf borderId="0" fillId="11" fontId="3" numFmtId="0" xfId="0" applyAlignment="1" applyFont="1">
      <alignment readingOrder="0" vertical="top"/>
    </xf>
    <xf borderId="0" fillId="11" fontId="52" numFmtId="0" xfId="0" applyAlignment="1" applyFont="1">
      <alignment readingOrder="0" shrinkToFit="0" vertical="top" wrapText="0"/>
    </xf>
    <xf borderId="0" fillId="11" fontId="3" numFmtId="0" xfId="0" applyAlignment="1" applyFont="1">
      <alignment readingOrder="0" shrinkToFit="0" vertical="top" wrapText="1"/>
    </xf>
    <xf borderId="20" fillId="12" fontId="49" numFmtId="49" xfId="0" applyAlignment="1" applyBorder="1" applyFont="1" applyNumberFormat="1">
      <alignment readingOrder="0" shrinkToFit="0" vertical="top" wrapText="1"/>
    </xf>
    <xf borderId="20" fillId="12" fontId="49" numFmtId="0" xfId="0" applyAlignment="1" applyBorder="1" applyFont="1">
      <alignment readingOrder="0" shrinkToFit="0" vertical="top" wrapText="1"/>
    </xf>
    <xf borderId="20" fillId="12" fontId="3" numFmtId="0" xfId="0" applyAlignment="1" applyBorder="1" applyFont="1">
      <alignment readingOrder="0" vertical="top"/>
    </xf>
    <xf borderId="33" fillId="12" fontId="41" numFmtId="49" xfId="0" applyAlignment="1" applyBorder="1" applyFont="1" applyNumberFormat="1">
      <alignment shrinkToFit="0" vertical="top" wrapText="0"/>
    </xf>
    <xf borderId="33" fillId="12" fontId="41" numFmtId="49" xfId="0" applyAlignment="1" applyBorder="1" applyFont="1" applyNumberFormat="1">
      <alignment readingOrder="0" shrinkToFit="0" vertical="top" wrapText="0"/>
    </xf>
    <xf borderId="20" fillId="12" fontId="41" numFmtId="49" xfId="0" applyAlignment="1" applyBorder="1" applyFont="1" applyNumberFormat="1">
      <alignment readingOrder="0" shrinkToFit="0" vertical="top" wrapText="0"/>
    </xf>
    <xf borderId="20" fillId="12" fontId="50" numFmtId="0" xfId="0" applyAlignment="1" applyBorder="1" applyFont="1">
      <alignment readingOrder="0" shrinkToFit="0" vertical="top" wrapText="1"/>
    </xf>
    <xf borderId="20" fillId="12" fontId="51" numFmtId="0" xfId="0" applyAlignment="1" applyBorder="1" applyFont="1">
      <alignment readingOrder="0" shrinkToFit="0" vertical="top" wrapText="1"/>
    </xf>
    <xf borderId="20" fillId="12" fontId="3" numFmtId="0" xfId="0" applyAlignment="1" applyBorder="1" applyFont="1">
      <alignment readingOrder="0" shrinkToFit="0" vertical="top" wrapText="1"/>
    </xf>
    <xf borderId="15" fillId="11" fontId="41" numFmtId="49" xfId="0" applyAlignment="1" applyBorder="1" applyFont="1" applyNumberFormat="1">
      <alignment shrinkToFit="0" vertical="top" wrapText="0"/>
    </xf>
    <xf borderId="15" fillId="11" fontId="41" numFmtId="49" xfId="0" applyAlignment="1" applyBorder="1" applyFont="1" applyNumberFormat="1">
      <alignment readingOrder="0" shrinkToFit="0" vertical="top" wrapText="0"/>
    </xf>
    <xf borderId="0" fillId="11" fontId="41" numFmtId="49" xfId="0" applyAlignment="1" applyFont="1" applyNumberFormat="1">
      <alignment readingOrder="0" shrinkToFit="0" vertical="top" wrapText="0"/>
    </xf>
    <xf borderId="0" fillId="11" fontId="3" numFmtId="174" xfId="0" applyAlignment="1" applyFont="1" applyNumberFormat="1">
      <alignment readingOrder="0" shrinkToFit="0" vertical="top" wrapText="1"/>
    </xf>
    <xf borderId="0" fillId="12" fontId="41" numFmtId="49" xfId="0" applyAlignment="1" applyFont="1" applyNumberFormat="1">
      <alignment readingOrder="0" shrinkToFit="0" vertical="top" wrapText="0"/>
    </xf>
    <xf borderId="0" fillId="12" fontId="3" numFmtId="174" xfId="0" applyAlignment="1" applyFont="1" applyNumberFormat="1">
      <alignment readingOrder="0" shrinkToFit="0" vertical="top" wrapText="1"/>
    </xf>
    <xf borderId="20" fillId="12" fontId="3" numFmtId="49" xfId="0" applyAlignment="1" applyBorder="1" applyFont="1" applyNumberFormat="1">
      <alignment readingOrder="0" vertical="top"/>
    </xf>
    <xf borderId="0" fillId="11" fontId="3" numFmtId="49" xfId="0" applyAlignment="1" applyFont="1" applyNumberFormat="1">
      <alignment readingOrder="0" vertical="top"/>
    </xf>
    <xf borderId="0" fillId="12" fontId="3" numFmtId="49" xfId="0" applyAlignment="1" applyFont="1" applyNumberFormat="1">
      <alignment readingOrder="0" vertical="top"/>
    </xf>
    <xf borderId="0" fillId="12" fontId="3" numFmtId="49" xfId="0" applyAlignment="1" applyFont="1" applyNumberFormat="1">
      <alignment shrinkToFit="0" vertical="top" wrapText="1"/>
    </xf>
    <xf borderId="0" fillId="11" fontId="3" numFmtId="49" xfId="0" applyAlignment="1" applyFont="1" applyNumberFormat="1">
      <alignment shrinkToFit="0" vertical="top" wrapText="1"/>
    </xf>
    <xf borderId="20" fillId="11" fontId="3" numFmtId="49" xfId="0" applyAlignment="1" applyBorder="1" applyFont="1" applyNumberFormat="1">
      <alignment shrinkToFit="0" vertical="top" wrapText="1"/>
    </xf>
    <xf borderId="20" fillId="11" fontId="41" numFmtId="49" xfId="0" applyAlignment="1" applyBorder="1" applyFont="1" applyNumberFormat="1">
      <alignment readingOrder="0" shrinkToFit="0" vertical="top" wrapText="0"/>
    </xf>
    <xf borderId="20" fillId="12" fontId="3" numFmtId="49" xfId="0" applyAlignment="1" applyBorder="1" applyFont="1" applyNumberFormat="1">
      <alignment readingOrder="0" shrinkToFit="0" vertical="top" wrapText="1"/>
    </xf>
    <xf borderId="0" fillId="11" fontId="3" numFmtId="49" xfId="0" applyAlignment="1" applyFont="1" applyNumberFormat="1">
      <alignment readingOrder="0" shrinkToFit="0" vertical="top" wrapText="1"/>
    </xf>
    <xf borderId="0" fillId="12" fontId="3" numFmtId="49" xfId="0" applyAlignment="1" applyFont="1" applyNumberFormat="1">
      <alignment readingOrder="0" shrinkToFit="0" vertical="top" wrapText="1"/>
    </xf>
    <xf borderId="20" fillId="12" fontId="3" numFmtId="49" xfId="0" applyAlignment="1" applyBorder="1" applyFont="1" applyNumberFormat="1">
      <alignment shrinkToFit="0" vertical="top" wrapText="1"/>
    </xf>
    <xf borderId="0" fillId="11" fontId="53" numFmtId="0" xfId="0" applyAlignment="1" applyFont="1">
      <alignment vertical="top"/>
    </xf>
    <xf borderId="0" fillId="11" fontId="3" numFmtId="0" xfId="0" applyAlignment="1" applyFont="1">
      <alignment vertical="top"/>
    </xf>
    <xf borderId="0" fillId="11" fontId="3" numFmtId="174" xfId="0" applyAlignment="1" applyFont="1" applyNumberFormat="1">
      <alignment readingOrder="0" vertical="top"/>
    </xf>
    <xf borderId="0" fillId="12" fontId="53" numFmtId="0" xfId="0" applyAlignment="1" applyFont="1">
      <alignment vertical="top"/>
    </xf>
    <xf borderId="0" fillId="12" fontId="3" numFmtId="0" xfId="0" applyAlignment="1" applyFont="1">
      <alignment vertical="top"/>
    </xf>
    <xf borderId="20" fillId="11" fontId="51" numFmtId="49" xfId="0" applyAlignment="1" applyBorder="1" applyFont="1" applyNumberFormat="1">
      <alignment shrinkToFit="0" vertical="top" wrapText="0"/>
    </xf>
    <xf borderId="20" fillId="11" fontId="51" numFmtId="0" xfId="0" applyAlignment="1" applyBorder="1" applyFont="1">
      <alignment shrinkToFit="0" vertical="top" wrapText="0"/>
    </xf>
    <xf borderId="20" fillId="11" fontId="51" numFmtId="49" xfId="0" applyAlignment="1" applyBorder="1" applyFont="1" applyNumberFormat="1">
      <alignment readingOrder="0" shrinkToFit="0" vertical="top" wrapText="0"/>
    </xf>
    <xf borderId="20" fillId="11" fontId="50" numFmtId="0" xfId="0" applyAlignment="1" applyBorder="1" applyFont="1">
      <alignment shrinkToFit="0" vertical="top" wrapText="0"/>
    </xf>
    <xf borderId="0" fillId="12" fontId="51" numFmtId="49" xfId="0" applyAlignment="1" applyFont="1" applyNumberFormat="1">
      <alignment readingOrder="0" shrinkToFit="0" vertical="top" wrapText="0"/>
    </xf>
    <xf borderId="0" fillId="12" fontId="51" numFmtId="0" xfId="0" applyAlignment="1" applyFont="1">
      <alignment readingOrder="0" shrinkToFit="0" vertical="top" wrapText="0"/>
    </xf>
    <xf borderId="0" fillId="12" fontId="3" numFmtId="174" xfId="0" applyAlignment="1" applyFont="1" applyNumberFormat="1">
      <alignment readingOrder="0" vertical="top"/>
    </xf>
    <xf borderId="0" fillId="11" fontId="51" numFmtId="49" xfId="0" applyAlignment="1" applyFont="1" applyNumberFormat="1">
      <alignment readingOrder="0" shrinkToFit="0" vertical="top" wrapText="0"/>
    </xf>
    <xf borderId="0" fillId="11" fontId="51" numFmtId="0" xfId="0" applyAlignment="1" applyFont="1">
      <alignment readingOrder="0" shrinkToFit="0" vertical="top" wrapText="0"/>
    </xf>
    <xf borderId="20" fillId="12" fontId="51" numFmtId="49" xfId="0" applyAlignment="1" applyBorder="1" applyFont="1" applyNumberFormat="1">
      <alignment readingOrder="0" shrinkToFit="0" vertical="top" wrapText="0"/>
    </xf>
    <xf borderId="20" fillId="12" fontId="51" numFmtId="0" xfId="0" applyAlignment="1" applyBorder="1" applyFont="1">
      <alignment readingOrder="0" shrinkToFit="0" vertical="top" wrapText="0"/>
    </xf>
    <xf borderId="20" fillId="12" fontId="53" numFmtId="0" xfId="0" applyAlignment="1" applyBorder="1" applyFont="1">
      <alignment vertical="top"/>
    </xf>
    <xf borderId="20" fillId="12" fontId="3" numFmtId="0" xfId="0" applyAlignment="1" applyBorder="1" applyFont="1">
      <alignment vertical="top"/>
    </xf>
    <xf borderId="0" fillId="0" fontId="2" numFmtId="0" xfId="0" applyAlignment="1" applyFont="1">
      <alignment readingOrder="0"/>
    </xf>
    <xf borderId="0" fillId="0" fontId="51" numFmtId="49" xfId="0" applyAlignment="1" applyFont="1" applyNumberFormat="1">
      <alignment readingOrder="0" shrinkToFit="0" vertical="top" wrapText="1"/>
    </xf>
    <xf borderId="15" fillId="0" fontId="41" numFmtId="0" xfId="0" applyAlignment="1" applyBorder="1" applyFont="1">
      <alignment readingOrder="0" shrinkToFit="0" vertical="top" wrapText="1"/>
    </xf>
    <xf borderId="15" fillId="0" fontId="27" numFmtId="0" xfId="0" applyAlignment="1" applyBorder="1" applyFont="1">
      <alignment vertical="top"/>
    </xf>
    <xf borderId="15" fillId="0" fontId="41" numFmtId="49" xfId="0" applyAlignment="1" applyBorder="1" applyFont="1" applyNumberFormat="1">
      <alignment shrinkToFit="0" vertical="top" wrapText="0"/>
    </xf>
    <xf borderId="15" fillId="0" fontId="41" numFmtId="49" xfId="0" applyAlignment="1" applyBorder="1" applyFont="1" applyNumberFormat="1">
      <alignment readingOrder="0" shrinkToFit="0" vertical="top" wrapText="0"/>
    </xf>
    <xf borderId="0" fillId="0" fontId="51" numFmtId="0" xfId="0" applyAlignment="1" applyFont="1">
      <alignment readingOrder="0" shrinkToFit="0" vertical="top" wrapText="1"/>
    </xf>
    <xf borderId="14" fillId="0" fontId="41" numFmtId="49" xfId="0" applyAlignment="1" applyBorder="1" applyFont="1" applyNumberFormat="1">
      <alignment readingOrder="0" shrinkToFit="0" vertical="top" wrapText="1"/>
    </xf>
    <xf borderId="0" fillId="0" fontId="51" numFmtId="0" xfId="0" applyAlignment="1" applyFont="1">
      <alignment readingOrder="0" shrinkToFit="0" vertical="top" wrapText="1"/>
    </xf>
    <xf borderId="0" fillId="0" fontId="41" numFmtId="0" xfId="0" applyAlignment="1" applyFont="1">
      <alignment readingOrder="0" shrinkToFit="0" vertical="top" wrapText="1"/>
    </xf>
    <xf borderId="15" fillId="0" fontId="27" numFmtId="0" xfId="0" applyAlignment="1" applyBorder="1" applyFont="1">
      <alignment readingOrder="0" vertical="top"/>
    </xf>
    <xf borderId="35" fillId="14" fontId="54" numFmtId="0" xfId="0" applyAlignment="1" applyBorder="1" applyFill="1" applyFont="1">
      <alignment horizontal="center" vertical="bottom"/>
    </xf>
    <xf borderId="36" fillId="0" fontId="24" numFmtId="0" xfId="0" applyBorder="1" applyFont="1"/>
    <xf borderId="37" fillId="15" fontId="55" numFmtId="0" xfId="0" applyAlignment="1" applyBorder="1" applyFill="1" applyFont="1">
      <alignment shrinkToFit="0" vertical="bottom" wrapText="1"/>
    </xf>
    <xf borderId="15" fillId="11" fontId="27" numFmtId="0" xfId="0" applyAlignment="1" applyBorder="1" applyFont="1">
      <alignment horizontal="center" readingOrder="0" vertical="top"/>
    </xf>
    <xf borderId="37" fillId="0" fontId="27" numFmtId="0" xfId="0" applyAlignment="1" applyBorder="1" applyFont="1">
      <alignment horizontal="center" readingOrder="0" vertical="bottom"/>
    </xf>
    <xf borderId="37" fillId="15" fontId="55" numFmtId="0" xfId="0" applyAlignment="1" applyBorder="1" applyFont="1">
      <alignment vertical="bottom"/>
    </xf>
    <xf borderId="37" fillId="0" fontId="27" numFmtId="164" xfId="0" applyAlignment="1" applyBorder="1" applyFont="1" applyNumberFormat="1">
      <alignment horizontal="center" readingOrder="0" vertical="bottom"/>
    </xf>
    <xf borderId="0" fillId="0" fontId="27" numFmtId="0" xfId="0" applyFont="1"/>
    <xf borderId="38" fillId="0" fontId="24" numFmtId="0" xfId="0" applyBorder="1" applyFont="1"/>
    <xf borderId="35" fillId="14" fontId="54" numFmtId="0" xfId="0" applyAlignment="1" applyBorder="1" applyFont="1">
      <alignment horizontal="center" readingOrder="0" vertical="bottom"/>
    </xf>
    <xf borderId="37" fillId="13" fontId="56" numFmtId="49" xfId="0" applyAlignment="1" applyBorder="1" applyFont="1" applyNumberFormat="1">
      <alignment readingOrder="0" vertical="bottom"/>
    </xf>
    <xf borderId="37" fillId="13" fontId="56" numFmtId="49" xfId="0" applyAlignment="1" applyBorder="1" applyFont="1" applyNumberFormat="1">
      <alignment readingOrder="0" shrinkToFit="0" vertical="bottom" wrapText="1"/>
    </xf>
    <xf borderId="37" fillId="13" fontId="27" numFmtId="0" xfId="0" applyAlignment="1" applyBorder="1" applyFont="1">
      <alignment horizontal="center" readingOrder="0"/>
    </xf>
    <xf borderId="0" fillId="0" fontId="27" numFmtId="0" xfId="0" applyAlignment="1" applyFont="1">
      <alignment readingOrder="0" vertical="bottom"/>
    </xf>
    <xf borderId="37" fillId="15" fontId="55" numFmtId="49" xfId="0" applyAlignment="1" applyBorder="1" applyFont="1" applyNumberFormat="1">
      <alignment vertical="bottom"/>
    </xf>
    <xf borderId="37" fillId="0" fontId="56" numFmtId="49" xfId="0" applyAlignment="1" applyBorder="1" applyFont="1" applyNumberFormat="1">
      <alignment shrinkToFit="0" vertical="bottom" wrapText="1"/>
    </xf>
    <xf borderId="37" fillId="0" fontId="27" numFmtId="0" xfId="0" applyAlignment="1" applyBorder="1" applyFont="1">
      <alignment horizontal="center" readingOrder="0"/>
    </xf>
    <xf borderId="37" fillId="0" fontId="27" numFmtId="0" xfId="0" applyAlignment="1" applyBorder="1" applyFont="1">
      <alignment horizontal="center"/>
    </xf>
    <xf borderId="37" fillId="0" fontId="3" numFmtId="172" xfId="0" applyAlignment="1" applyBorder="1" applyFont="1" applyNumberFormat="1">
      <alignment horizontal="center"/>
    </xf>
    <xf borderId="37" fillId="0" fontId="27" numFmtId="175" xfId="0" applyAlignment="1" applyBorder="1" applyFont="1" applyNumberFormat="1">
      <alignment horizontal="center"/>
    </xf>
    <xf borderId="37" fillId="0" fontId="27" numFmtId="0" xfId="0" applyAlignment="1" applyBorder="1" applyFont="1">
      <alignment readingOrder="0" shrinkToFit="0" vertical="bottom" wrapText="1"/>
    </xf>
    <xf borderId="37" fillId="0" fontId="27" numFmtId="0" xfId="0" applyAlignment="1" applyBorder="1" applyFont="1">
      <alignment shrinkToFit="0" vertical="bottom" wrapText="1"/>
    </xf>
    <xf borderId="37" fillId="0" fontId="27" numFmtId="49" xfId="0" applyAlignment="1" applyBorder="1" applyFont="1" applyNumberFormat="1">
      <alignment shrinkToFit="0" vertical="bottom" wrapText="1"/>
    </xf>
    <xf borderId="37" fillId="0" fontId="3" numFmtId="0" xfId="0" applyAlignment="1" applyBorder="1" applyFont="1">
      <alignment horizontal="center"/>
    </xf>
    <xf borderId="0" fillId="15" fontId="55" numFmtId="49" xfId="0" applyAlignment="1" applyFont="1" applyNumberFormat="1">
      <alignment vertical="bottom"/>
    </xf>
    <xf borderId="0" fillId="0" fontId="27" numFmtId="49" xfId="0" applyAlignment="1" applyFont="1" applyNumberFormat="1">
      <alignment shrinkToFit="0" vertical="bottom" wrapText="1"/>
    </xf>
    <xf borderId="0" fillId="0" fontId="27" numFmtId="0" xfId="0" applyAlignment="1" applyFont="1">
      <alignment horizontal="center" readingOrder="0"/>
    </xf>
    <xf borderId="0" fillId="0" fontId="27" numFmtId="0" xfId="0" applyAlignment="1" applyFont="1">
      <alignment horizontal="center"/>
    </xf>
    <xf borderId="0" fillId="0" fontId="3" numFmtId="0" xfId="0" applyAlignment="1" applyFont="1">
      <alignment horizontal="center"/>
    </xf>
    <xf borderId="0" fillId="0" fontId="27" numFmtId="175" xfId="0" applyAlignment="1" applyFont="1" applyNumberFormat="1">
      <alignment horizontal="center"/>
    </xf>
    <xf borderId="0" fillId="11" fontId="15" numFmtId="172" xfId="0" applyAlignment="1" applyFont="1" applyNumberFormat="1">
      <alignment horizontal="center" readingOrder="0" vertical="center"/>
    </xf>
    <xf borderId="0" fillId="11" fontId="15" numFmtId="172" xfId="0" applyAlignment="1" applyFont="1" applyNumberFormat="1">
      <alignment horizontal="center" readingOrder="0" shrinkToFit="0" vertical="center" wrapText="1"/>
    </xf>
    <xf borderId="0" fillId="0" fontId="3" numFmtId="0" xfId="0" applyAlignment="1" applyFont="1">
      <alignment horizontal="center" readingOrder="0"/>
    </xf>
    <xf borderId="0" fillId="0" fontId="6" numFmtId="0" xfId="0" applyAlignment="1" applyFont="1">
      <alignment horizontal="center" readingOrder="0" shrinkToFit="0" vertical="center" wrapText="1"/>
    </xf>
    <xf borderId="0" fillId="0" fontId="3" numFmtId="49" xfId="0" applyFont="1" applyNumberFormat="1"/>
    <xf borderId="0" fillId="0" fontId="3" numFmtId="49" xfId="0" applyAlignment="1" applyFont="1" applyNumberFormat="1">
      <alignment shrinkToFit="0" wrapText="1"/>
    </xf>
    <xf borderId="0" fillId="0" fontId="8" numFmtId="0" xfId="0" applyAlignment="1" applyFont="1">
      <alignment horizontal="center" readingOrder="0" shrinkToFit="0" vertical="center" wrapText="1"/>
    </xf>
    <xf borderId="0" fillId="0" fontId="8" numFmtId="0" xfId="0" applyAlignment="1" applyFont="1">
      <alignment horizontal="left" readingOrder="0" shrinkToFit="0" vertical="center" wrapText="1"/>
    </xf>
    <xf borderId="0" fillId="0" fontId="8" numFmtId="0" xfId="0" applyAlignment="1" applyFont="1">
      <alignment horizontal="center" shrinkToFit="0" vertical="center" wrapText="1"/>
    </xf>
    <xf borderId="0" fillId="0" fontId="0" numFmtId="0" xfId="0" applyAlignment="1" applyFont="1">
      <alignment horizontal="center" readingOrder="0" shrinkToFit="0" vertical="center" wrapText="1"/>
    </xf>
    <xf borderId="0" fillId="0" fontId="57" numFmtId="0" xfId="0" applyAlignment="1" applyFont="1">
      <alignment horizontal="center" readingOrder="0" shrinkToFit="0" vertical="center" wrapText="1"/>
    </xf>
    <xf borderId="0" fillId="0" fontId="27" numFmtId="0" xfId="0" applyAlignment="1" applyFont="1">
      <alignment horizontal="center" shrinkToFit="0" vertical="center" wrapText="1"/>
    </xf>
    <xf borderId="0" fillId="0" fontId="3" numFmtId="0" xfId="0" applyFont="1"/>
    <xf borderId="0" fillId="0" fontId="58" numFmtId="0" xfId="0" applyAlignment="1" applyFont="1">
      <alignment horizontal="center" readingOrder="0" shrinkToFit="0" vertical="center" wrapText="1"/>
    </xf>
    <xf borderId="0" fillId="0" fontId="58" numFmtId="0" xfId="0" applyAlignment="1" applyFont="1">
      <alignment horizontal="center" readingOrder="0" shrinkToFit="0" vertical="center" wrapText="1"/>
    </xf>
    <xf borderId="0" fillId="0" fontId="58" numFmtId="0" xfId="0" applyAlignment="1" applyFont="1">
      <alignment horizontal="left" readingOrder="0" shrinkToFit="0" vertical="center" wrapText="1"/>
    </xf>
    <xf borderId="0" fillId="0" fontId="59" numFmtId="0" xfId="0" applyAlignment="1" applyFont="1">
      <alignment horizontal="left" readingOrder="0" shrinkToFit="0" vertical="center" wrapText="1"/>
    </xf>
    <xf borderId="0" fillId="0" fontId="58" numFmtId="49" xfId="0" applyAlignment="1" applyFont="1" applyNumberFormat="1">
      <alignment horizontal="center" readingOrder="0" shrinkToFit="0" vertical="center" wrapText="1"/>
    </xf>
    <xf borderId="0" fillId="0" fontId="3" numFmtId="49" xfId="0" applyAlignment="1" applyFont="1" applyNumberFormat="1">
      <alignment horizontal="center" readingOrder="0" shrinkToFit="0" vertical="center" wrapText="1"/>
    </xf>
    <xf borderId="0" fillId="0" fontId="58" numFmtId="0" xfId="0" applyAlignment="1" applyFont="1">
      <alignment horizontal="left" readingOrder="0" shrinkToFit="0" vertical="center" wrapText="1"/>
    </xf>
    <xf borderId="0" fillId="0" fontId="58"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center" wrapText="0"/>
    </xf>
    <xf borderId="0" fillId="0" fontId="3" numFmtId="49" xfId="0" applyAlignment="1" applyFont="1" applyNumberFormat="1">
      <alignment horizontal="left" readingOrder="0" shrinkToFit="0" vertical="center" wrapText="1"/>
    </xf>
    <xf borderId="0" fillId="0" fontId="53" numFmtId="49" xfId="0" applyAlignment="1" applyFont="1" applyNumberFormat="1">
      <alignment horizontal="left" readingOrder="0" shrinkToFit="0" vertical="center" wrapText="1"/>
    </xf>
    <xf borderId="0" fillId="0" fontId="3" numFmtId="0" xfId="0" applyAlignment="1" applyFont="1">
      <alignment shrinkToFit="0" vertical="center" wrapText="0"/>
    </xf>
    <xf borderId="0" fillId="0" fontId="3" numFmtId="176" xfId="0" applyAlignment="1" applyFont="1" applyNumberFormat="1">
      <alignment shrinkToFit="0" vertical="center" wrapText="0"/>
    </xf>
    <xf borderId="0" fillId="0" fontId="60" numFmtId="49" xfId="0" applyAlignment="1" applyFont="1" applyNumberFormat="1">
      <alignment horizontal="center" readingOrder="0" shrinkToFit="0" vertical="center" wrapText="0"/>
    </xf>
    <xf borderId="0" fillId="0" fontId="3" numFmtId="172" xfId="0" applyAlignment="1" applyFont="1" applyNumberFormat="1">
      <alignment horizontal="center" readingOrder="0" shrinkToFit="0" vertical="center" wrapText="0"/>
    </xf>
    <xf borderId="0" fillId="0" fontId="3" numFmtId="49" xfId="0" applyAlignment="1" applyFont="1" applyNumberFormat="1">
      <alignment horizontal="center" shrinkToFit="0" vertical="center" wrapText="1"/>
    </xf>
    <xf borderId="0" fillId="0" fontId="3" numFmtId="49" xfId="0" applyAlignment="1" applyFont="1" applyNumberFormat="1">
      <alignment horizontal="center" shrinkToFit="0" vertical="center" wrapText="0"/>
    </xf>
    <xf borderId="0" fillId="0" fontId="3" numFmtId="49" xfId="0" applyAlignment="1" applyFont="1" applyNumberFormat="1">
      <alignment horizontal="left" shrinkToFit="0" vertical="center" wrapText="1"/>
    </xf>
    <xf borderId="0" fillId="0" fontId="3" numFmtId="0" xfId="0" applyAlignment="1" applyFont="1">
      <alignment horizontal="center" readingOrder="0" shrinkToFit="0" vertical="center" wrapText="1"/>
    </xf>
    <xf borderId="0" fillId="0" fontId="3" numFmtId="49" xfId="0" applyAlignment="1" applyFont="1" applyNumberFormat="1">
      <alignment shrinkToFit="0" vertical="center" wrapText="0"/>
    </xf>
    <xf borderId="0" fillId="0" fontId="3" numFmtId="0" xfId="0" applyAlignment="1" applyFont="1">
      <alignment shrinkToFit="0" vertical="center" wrapText="0"/>
    </xf>
    <xf borderId="0" fillId="0" fontId="3" numFmtId="0" xfId="0" applyAlignment="1" applyFont="1">
      <alignment horizontal="center" shrinkToFit="0" vertical="center" wrapText="0"/>
    </xf>
    <xf borderId="0" fillId="0" fontId="3" numFmtId="49" xfId="0" applyAlignment="1" applyFont="1" applyNumberFormat="1">
      <alignment horizontal="center" readingOrder="0" shrinkToFit="0" vertical="center" wrapText="0"/>
    </xf>
    <xf borderId="0" fillId="0" fontId="61" numFmtId="49" xfId="0" applyAlignment="1" applyFont="1" applyNumberFormat="1">
      <alignment horizontal="left" readingOrder="0" shrinkToFit="0" vertical="center" wrapText="1"/>
    </xf>
    <xf borderId="0" fillId="0" fontId="3" numFmtId="49" xfId="0" applyAlignment="1" applyFont="1" applyNumberFormat="1">
      <alignment readingOrder="0" shrinkToFit="0" vertical="center" wrapText="0"/>
    </xf>
    <xf borderId="0" fillId="0" fontId="3" numFmtId="176" xfId="0" applyAlignment="1" applyFont="1" applyNumberFormat="1">
      <alignment horizontal="center" readingOrder="0" shrinkToFit="0" vertical="center" wrapText="0"/>
    </xf>
    <xf borderId="0" fillId="0" fontId="62" numFmtId="49" xfId="0" applyAlignment="1" applyFont="1" applyNumberFormat="1">
      <alignment horizontal="left" readingOrder="0" shrinkToFit="0" vertical="center" wrapText="1"/>
    </xf>
    <xf borderId="0" fillId="0" fontId="63" numFmtId="49" xfId="0" applyAlignment="1" applyFont="1" applyNumberFormat="1">
      <alignment horizontal="left" readingOrder="0" shrinkToFit="0" vertical="center" wrapText="1"/>
    </xf>
    <xf borderId="39" fillId="16" fontId="64" numFmtId="0" xfId="0" applyAlignment="1" applyBorder="1" applyFill="1" applyFont="1">
      <alignment shrinkToFit="0" vertical="center" wrapText="0"/>
    </xf>
    <xf borderId="40" fillId="16" fontId="65" numFmtId="0" xfId="0" applyAlignment="1" applyBorder="1" applyFont="1">
      <alignment shrinkToFit="0" vertical="center" wrapText="0"/>
    </xf>
    <xf borderId="40" fillId="16" fontId="26" numFmtId="49" xfId="0" applyAlignment="1" applyBorder="1" applyFont="1" applyNumberFormat="1">
      <alignment readingOrder="0" shrinkToFit="0" vertical="center" wrapText="1"/>
    </xf>
    <xf borderId="40" fillId="16" fontId="66" numFmtId="49" xfId="0" applyAlignment="1" applyBorder="1" applyFont="1" applyNumberFormat="1">
      <alignment shrinkToFit="0" vertical="center" wrapText="1"/>
    </xf>
    <xf borderId="40" fillId="16" fontId="27" numFmtId="0" xfId="0" applyAlignment="1" applyBorder="1" applyFont="1">
      <alignment shrinkToFit="0" vertical="center" wrapText="0"/>
    </xf>
    <xf borderId="40" fillId="16" fontId="27" numFmtId="176" xfId="0" applyAlignment="1" applyBorder="1" applyFont="1" applyNumberFormat="1">
      <alignment shrinkToFit="0" vertical="center" wrapText="0"/>
    </xf>
    <xf borderId="40" fillId="16" fontId="27" numFmtId="49" xfId="0" applyAlignment="1" applyBorder="1" applyFont="1" applyNumberFormat="1">
      <alignment shrinkToFit="0" vertical="center" wrapText="0"/>
    </xf>
    <xf borderId="40" fillId="16" fontId="27" numFmtId="172" xfId="0" applyAlignment="1" applyBorder="1" applyFont="1" applyNumberFormat="1">
      <alignment shrinkToFit="0" vertical="center" wrapText="0"/>
    </xf>
    <xf borderId="40" fillId="11" fontId="26" numFmtId="49" xfId="0" applyAlignment="1" applyBorder="1" applyFont="1" applyNumberFormat="1">
      <alignment horizontal="center" shrinkToFit="0" vertical="center" wrapText="1"/>
    </xf>
    <xf borderId="40" fillId="16" fontId="26" numFmtId="49" xfId="0" applyAlignment="1" applyBorder="1" applyFont="1" applyNumberFormat="1">
      <alignment horizontal="center" shrinkToFit="0" vertical="center" wrapText="1"/>
    </xf>
    <xf borderId="40" fillId="16" fontId="27" numFmtId="0" xfId="0" applyAlignment="1" applyBorder="1" applyFont="1">
      <alignment shrinkToFit="0" vertical="center" wrapText="0"/>
    </xf>
    <xf borderId="41" fillId="16" fontId="27" numFmtId="0" xfId="0" applyAlignment="1" applyBorder="1" applyFont="1">
      <alignment shrinkToFit="0" vertical="center" wrapText="0"/>
    </xf>
    <xf borderId="0" fillId="0" fontId="3" numFmtId="49" xfId="0" applyAlignment="1" applyFont="1" applyNumberFormat="1">
      <alignment horizontal="center"/>
    </xf>
    <xf borderId="0" fillId="0" fontId="3" numFmtId="0" xfId="0" applyAlignment="1" applyFont="1">
      <alignment readingOrder="0"/>
    </xf>
    <xf borderId="0" fillId="0" fontId="3" numFmtId="49" xfId="0" applyAlignment="1" applyFont="1" applyNumberFormat="1">
      <alignment horizontal="left" readingOrder="0" shrinkToFit="0" wrapText="1"/>
    </xf>
    <xf borderId="0" fillId="0" fontId="61" numFmtId="49" xfId="0" applyAlignment="1" applyFont="1" applyNumberFormat="1">
      <alignment horizontal="left" readingOrder="0" shrinkToFit="0" wrapText="1"/>
    </xf>
    <xf borderId="0" fillId="0" fontId="3" numFmtId="172" xfId="0" applyAlignment="1" applyFont="1" applyNumberFormat="1">
      <alignment horizontal="center"/>
    </xf>
    <xf borderId="0" fillId="0" fontId="3" numFmtId="49" xfId="0" applyAlignment="1" applyFont="1" applyNumberFormat="1">
      <alignment horizontal="center" readingOrder="0"/>
    </xf>
    <xf borderId="0" fillId="0" fontId="3" numFmtId="172" xfId="0" applyAlignment="1" applyFont="1" applyNumberFormat="1">
      <alignment horizontal="center" readingOrder="0"/>
    </xf>
    <xf borderId="0" fillId="0" fontId="3" numFmtId="0" xfId="0" applyAlignment="1" applyFont="1">
      <alignment horizontal="center" readingOrder="0" shrinkToFit="0" wrapText="1"/>
    </xf>
    <xf borderId="0" fillId="0" fontId="3" numFmtId="49" xfId="0" applyAlignment="1" applyFont="1" applyNumberFormat="1">
      <alignment horizontal="center" shrinkToFit="0" wrapText="1"/>
    </xf>
    <xf borderId="0" fillId="0" fontId="3" numFmtId="49" xfId="0" applyAlignment="1" applyFont="1" applyNumberFormat="1">
      <alignment horizontal="left" shrinkToFit="0" wrapText="1"/>
    </xf>
    <xf borderId="0" fillId="0" fontId="3" numFmtId="49" xfId="0" applyFont="1" applyNumberFormat="1"/>
    <xf borderId="0" fillId="0" fontId="3" numFmtId="0" xfId="0" applyAlignment="1" applyFont="1">
      <alignment shrinkToFit="0" wrapText="0"/>
    </xf>
    <xf borderId="0" fillId="0" fontId="3" numFmtId="0" xfId="0" applyAlignment="1" applyFont="1">
      <alignment horizontal="center"/>
    </xf>
    <xf borderId="0" fillId="0" fontId="3" numFmtId="0" xfId="0" applyAlignment="1" applyFont="1">
      <alignment horizontal="left" readingOrder="0" shrinkToFit="0" vertical="center" wrapText="1"/>
    </xf>
    <xf borderId="0" fillId="0" fontId="3" numFmtId="0" xfId="0" applyAlignment="1" applyFont="1">
      <alignment shrinkToFit="0" vertical="center" wrapText="0"/>
    </xf>
  </cellXfs>
  <cellStyles count="1">
    <cellStyle xfId="0" name="Normal" builtinId="0"/>
  </cellStyles>
  <dxfs count="22">
    <dxf>
      <font/>
      <fill>
        <patternFill patternType="none"/>
      </fill>
      <border/>
    </dxf>
    <dxf>
      <font/>
      <fill>
        <patternFill patternType="solid">
          <fgColor rgb="FFF4CCCC"/>
          <bgColor rgb="FFF4CCCC"/>
        </patternFill>
      </fill>
      <border/>
    </dxf>
    <dxf>
      <font/>
      <fill>
        <patternFill patternType="solid">
          <fgColor rgb="FFFCE5CD"/>
          <bgColor rgb="FFFCE5CD"/>
        </patternFill>
      </fill>
      <border/>
    </dxf>
    <dxf>
      <font/>
      <fill>
        <patternFill patternType="solid">
          <fgColor rgb="FFFFF2CC"/>
          <bgColor rgb="FFFFF2CC"/>
        </patternFill>
      </fill>
      <border/>
    </dxf>
    <dxf>
      <font/>
      <fill>
        <patternFill patternType="solid">
          <fgColor rgb="FFFFFFFF"/>
          <bgColor rgb="FFFFFFFF"/>
        </patternFill>
      </fill>
      <border/>
    </dxf>
    <dxf>
      <font/>
      <fill>
        <patternFill patternType="solid">
          <fgColor rgb="FFF6F8F9"/>
          <bgColor rgb="FFF6F8F9"/>
        </patternFill>
      </fill>
      <border/>
    </dxf>
    <dxf>
      <font/>
      <fill>
        <patternFill patternType="none"/>
      </fill>
      <border/>
    </dxf>
    <dxf>
      <font/>
      <fill>
        <patternFill patternType="solid">
          <fgColor rgb="FF93C47D"/>
          <bgColor rgb="FF93C47D"/>
        </patternFill>
      </fill>
      <border/>
    </dxf>
    <dxf>
      <font/>
      <fill>
        <patternFill patternType="solid">
          <fgColor rgb="FFFFEF7B"/>
          <bgColor rgb="FFFFEF7B"/>
        </patternFill>
      </fill>
      <border/>
    </dxf>
    <dxf>
      <font/>
      <fill>
        <patternFill patternType="solid">
          <fgColor rgb="FFF6B26B"/>
          <bgColor rgb="FFF6B26B"/>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FFE599"/>
          <bgColor rgb="FFFFE599"/>
        </patternFill>
      </fill>
      <border/>
    </dxf>
    <dxf>
      <font/>
      <fill>
        <patternFill patternType="solid">
          <fgColor rgb="FFA2C4C9"/>
          <bgColor rgb="FFA2C4C9"/>
        </patternFill>
      </fill>
      <border/>
    </dxf>
    <dxf>
      <font/>
      <fill>
        <patternFill patternType="solid">
          <fgColor rgb="FFCCB8DD"/>
          <bgColor rgb="FFCCB8DD"/>
        </patternFill>
      </fill>
      <border/>
    </dxf>
    <dxf>
      <font>
        <b/>
      </font>
      <fill>
        <patternFill patternType="solid">
          <fgColor rgb="FFF5ECF5"/>
          <bgColor rgb="FFF5ECF5"/>
        </patternFill>
      </fill>
      <border/>
    </dxf>
    <dxf>
      <font>
        <b/>
      </font>
      <fill>
        <patternFill patternType="solid">
          <fgColor rgb="FFB7E6FF"/>
          <bgColor rgb="FFB7E6FF"/>
        </patternFill>
      </fill>
      <border/>
    </dxf>
    <dxf>
      <font/>
      <fill>
        <patternFill patternType="solid">
          <fgColor rgb="FFD2E1ED"/>
          <bgColor rgb="FFD2E1ED"/>
        </patternFill>
      </fill>
      <border/>
    </dxf>
    <dxf>
      <font/>
      <fill>
        <patternFill patternType="solid">
          <fgColor rgb="FF5B3F86"/>
          <bgColor rgb="FF5B3F86"/>
        </patternFill>
      </fill>
      <border/>
    </dxf>
    <dxf>
      <font/>
      <fill>
        <patternFill patternType="solid">
          <fgColor rgb="FFEFEFEF"/>
          <bgColor rgb="FFEFEFEF"/>
        </patternFill>
      </fill>
      <border/>
    </dxf>
    <dxf>
      <border>
        <left style="thin">
          <color rgb="FF5B3F86"/>
        </left>
        <right style="thin">
          <color rgb="FF5B3F86"/>
        </right>
        <top style="thin">
          <color rgb="FF5B3F86"/>
        </top>
        <bottom style="thin">
          <color rgb="FF5B3F86"/>
        </bottom>
      </border>
    </dxf>
    <dxf>
      <font/>
      <fill>
        <patternFill patternType="solid">
          <fgColor rgb="FF356854"/>
          <bgColor rgb="FF356854"/>
        </patternFill>
      </fill>
      <border/>
    </dxf>
  </dxfs>
  <tableStyles count="4">
    <tableStyle count="2" pivot="0" name="Product Features-style">
      <tableStyleElement dxfId="4" type="firstRowStripe"/>
      <tableStyleElement dxfId="5" type="secondRowStripe"/>
    </tableStyle>
    <tableStyle count="3" pivot="0" name="Technical Functions (WIP)-style">
      <tableStyleElement dxfId="4" type="headerRow"/>
      <tableStyleElement dxfId="5" type="firstRowStripe"/>
      <tableStyleElement dxfId="4" type="secondRowStripe"/>
    </tableStyle>
    <tableStyle count="4" pivot="0" name="IGNORE IssuesRisks-style">
      <tableStyleElement dxfId="18" type="headerRow"/>
      <tableStyleElement dxfId="4" type="firstRowStripe"/>
      <tableStyleElement dxfId="19" type="secondRowStripe"/>
      <tableStyleElement dxfId="20" size="0" type="wholeTable"/>
    </tableStyle>
    <tableStyle count="4" pivot="0" name="Sheet12-style">
      <tableStyleElement dxfId="21" type="headerRow"/>
      <tableStyleElement dxfId="4" type="firstRowStripe"/>
      <tableStyleElement dxfId="5" type="secondRowStripe"/>
      <tableStyleElement dxfId="20"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13.xml.rels><?xml version="1.0" encoding="UTF-8" standalone="yes"?><Relationships xmlns="http://schemas.openxmlformats.org/package/2006/relationships"><Relationship Id="rId1" Type="http://schemas.openxmlformats.org/officeDocument/2006/relationships/image" Target="../media/Visualization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114300</xdr:colOff>
      <xdr:row>84</xdr:row>
      <xdr:rowOff>190500</xdr:rowOff>
    </xdr:from>
    <xdr:ext cx="12934950" cy="66008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absoluteAnchor>
    <xdr:pos x="0" y="0"/>
    <xdr:ext cx="8610600" cy="6276975"/>
    <xdr:pic>
      <xdr:nvPicPr>
        <xdr:cNvPr id="2048042096" name="Visualization1" title="Visualization">
          <a:extLst>
            <a:ext uri="GoogleSheetsCustomDataVersion1">
              <go:sheetsCustomData xmlns:go="http://customooxmlschemas.google.com/" pictureOfVisualization="1"/>
            </a:ext>
          </a:extLst>
        </xdr:cNvPr>
        <xdr:cNvPicPr preferRelativeResize="0"/>
      </xdr:nvPicPr>
      <xdr:blipFill>
        <a:blip cstate="print" r:embed="rId1"/>
        <a:stretch>
          <a:fillRect/>
        </a:stretch>
      </xdr:blipFill>
      <xdr:spPr>
        <a:prstGeom prst="rect">
          <a:avLst/>
        </a:prstGeom>
        <a:noFill/>
      </xdr:spPr>
    </xdr:pic>
    <xdr:clientData fLocksWithSheet="0"/>
  </xdr:absoluteAnchor>
</xdr:wsD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2:S120" displayName="Table_1" name="Table_1" id="1">
  <tableColumns count="19">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s>
  <tableStyleInfo name="Product Features-style" showColumnStripes="0" showFirstColumn="1" showLastColumn="1" showRowStripes="1"/>
</table>
</file>

<file path=xl/tables/table2.xml><?xml version="1.0" encoding="utf-8"?>
<table xmlns="http://schemas.openxmlformats.org/spreadsheetml/2006/main" ref="A1:M8" displayName="Table_2" name="Table_2" id="2">
  <tableColumns count="13">
    <tableColumn name="Swimlane" id="1"/>
    <tableColumn name="SL" id="2"/>
    <tableColumn name="Maj" id="3"/>
    <tableColumn name="Min" id="4"/>
    <tableColumn name="Label" id="5"/>
    <tableColumn name="Technical Function" id="6"/>
    <tableColumn name="Platform" id="7"/>
    <tableColumn name="ODD" id="8"/>
    <tableColumn name="Environment" id="9"/>
    <tableColumn name="Trailer" id="10"/>
    <tableColumn name="Details/ comments" id="11"/>
    <tableColumn name="Next" id="12"/>
    <tableColumn name="Capability" id="13"/>
  </tableColumns>
  <tableStyleInfo name="Technical Functions (WIP)-style" showColumnStripes="0" showFirstColumn="1" showLastColumn="1" showRowStripes="1"/>
</table>
</file>

<file path=xl/tables/table3.xml><?xml version="1.0" encoding="utf-8"?>
<table xmlns="http://schemas.openxmlformats.org/spreadsheetml/2006/main" ref="A1:W102" displayName="RISK_LOG" name="RISK_LOG" id="3">
  <autoFilter ref="$A$1:$W$102"/>
  <tableColumns count="23">
    <tableColumn name="TYPE" id="1"/>
    <tableColumn name="STATUS" id="2"/>
    <tableColumn name="ISSUE NAME" id="3"/>
    <tableColumn name="ISSUE DESCRIPTION" id="4"/>
    <tableColumn name="SIZE" id="5"/>
    <tableColumn name="START" id="6"/>
    <tableColumn name="DUE DATE" id="7"/>
    <tableColumn name="PROGRESS" id="8"/>
    <tableColumn name="RAISED BY" id="9"/>
    <tableColumn name="DATE ADDED" id="10"/>
    <tableColumn name="PROBABILITY_x000a_(1 Low - 5 High)" id="11"/>
    <tableColumn name="SEVERITY_x000a_(1 Low - 5 High)" id="12"/>
    <tableColumn name="RISK LEVEL" id="13"/>
    <tableColumn name="OWNER" id="14"/>
    <tableColumn name="MITIGATION ACTION" id="15"/>
    <tableColumn name="POST MITIGATION_x000a_PROBABILITY_x000a_(1 Low - 5 High)" id="16"/>
    <tableColumn name="POST MITIGATION_x000a_SEVERITY_x000a_(1 Low - 5 High)" id="17"/>
    <tableColumn name="POST MITIGATION_x000a_RISK LEVEL" id="18"/>
    <tableColumn name="NOTES/UPDATES" id="19"/>
    <tableColumn name="DOCUMENT LINKS" id="20"/>
    <tableColumn name="OTHER LINKS" id="21"/>
    <tableColumn name="SCORE" id="22"/>
    <tableColumn name="POST MITIGATION SCORE" id="23"/>
  </tableColumns>
  <tableStyleInfo name="IGNORE IssuesRisks-style" showColumnStripes="0" showFirstColumn="1" showLastColumn="1" showRowStripes="1"/>
</table>
</file>

<file path=xl/tables/table4.xml><?xml version="1.0" encoding="utf-8"?>
<table xmlns="http://schemas.openxmlformats.org/spreadsheetml/2006/main" ref="A1:F8" displayName="Table1" name="Table1" id="4">
  <tableColumns count="6">
    <tableColumn name="Column 1" id="1"/>
    <tableColumn name="Column 2" id="2"/>
    <tableColumn name="Column 3" id="3"/>
    <tableColumn name="Column 4" id="4"/>
    <tableColumn name="Column 5" id="5"/>
    <tableColumn name="Column 6" id="6"/>
  </tableColumns>
  <tableStyleInfo name="Sheet12-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tivatrailers.com/bomb-cart-trailer" TargetMode="External"/><Relationship Id="rId3" Type="http://schemas.openxmlformats.org/officeDocument/2006/relationships/drawing" Target="../drawings/drawing6.xml"/><Relationship Id="rId4"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 Type="http://schemas.openxmlformats.org/officeDocument/2006/relationships/hyperlink" Target="https://www.skylabmodule.com/port-personnel-container-asset-uwb-location-tracking-solution/)" TargetMode="External"/><Relationship Id="rId2" Type="http://schemas.openxmlformats.org/officeDocument/2006/relationships/hyperlink" Target="https://magnumtrailer.com/terminal-trailers/" TargetMode="External"/><Relationship Id="rId3"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9.xml"/><Relationship Id="rId3" Type="http://schemas.openxmlformats.org/officeDocument/2006/relationships/vmlDrawing" Target="../drawings/vmlDrawing5.vml"/><Relationship Id="rId5"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2.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14.xml"/><Relationship Id="rId3" Type="http://schemas.openxmlformats.org/officeDocument/2006/relationships/vmlDrawing" Target="../drawings/vmlDrawing6.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mailto:luke.osmokrovic@oxa.tech" TargetMode="External"/><Relationship Id="rId3" Type="http://schemas.openxmlformats.org/officeDocument/2006/relationships/hyperlink" Target="mailto:luke.osmokrovic@oxa.tech" TargetMode="External"/><Relationship Id="rId4" Type="http://schemas.openxmlformats.org/officeDocument/2006/relationships/hyperlink" Target="mailto:luke.osmokrovic@oxa.tech" TargetMode="External"/><Relationship Id="rId10" Type="http://schemas.openxmlformats.org/officeDocument/2006/relationships/table" Target="../tables/table3.xml"/><Relationship Id="rId5" Type="http://schemas.openxmlformats.org/officeDocument/2006/relationships/hyperlink" Target="mailto:robert.deaves@oxa.tech" TargetMode="External"/><Relationship Id="rId6" Type="http://schemas.openxmlformats.org/officeDocument/2006/relationships/hyperlink" Target="https://docs.google.com/presentation/d/17QvTF5tWcbhhyi3E6Vl_vRI0tcdtPdI2LV_b_Q-pOdM/edit?slide=id.g39c36f3be56_0_46" TargetMode="External"/><Relationship Id="rId7" Type="http://schemas.openxmlformats.org/officeDocument/2006/relationships/drawing" Target="../drawings/drawing15.xml"/><Relationship Id="rId8" Type="http://schemas.openxmlformats.org/officeDocument/2006/relationships/vmlDrawing" Target="../drawings/vmlDrawing7.v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3"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5.0" topLeftCell="D6" activePane="bottomRight" state="frozen"/>
      <selection activeCell="D1" sqref="D1" pane="topRight"/>
      <selection activeCell="A6" sqref="A6" pane="bottomLeft"/>
      <selection activeCell="D6" sqref="D6" pane="bottomRight"/>
    </sheetView>
  </sheetViews>
  <sheetFormatPr customHeight="1" defaultColWidth="12.63" defaultRowHeight="15.75" outlineLevelRow="1"/>
  <cols>
    <col customWidth="1" min="1" max="1" width="1.63"/>
    <col customWidth="1" min="2" max="2" width="6.38"/>
    <col customWidth="1" min="3" max="3" width="31.0"/>
    <col customWidth="1" min="4" max="4" width="39.75"/>
    <col customWidth="1" min="5" max="16" width="18.88"/>
  </cols>
  <sheetData>
    <row r="1">
      <c r="D1" s="1"/>
    </row>
    <row r="2">
      <c r="A2" s="2"/>
      <c r="B2" s="3" t="s">
        <v>0</v>
      </c>
      <c r="C2" s="4"/>
      <c r="E2" s="5" t="s">
        <v>1</v>
      </c>
      <c r="F2" s="5" t="s">
        <v>2</v>
      </c>
      <c r="G2" s="5" t="s">
        <v>3</v>
      </c>
      <c r="H2" s="5" t="s">
        <v>4</v>
      </c>
      <c r="I2" s="5" t="s">
        <v>5</v>
      </c>
      <c r="J2" s="5" t="s">
        <v>6</v>
      </c>
      <c r="K2" s="5" t="s">
        <v>7</v>
      </c>
      <c r="L2" s="5"/>
      <c r="M2" s="5"/>
      <c r="N2" s="5"/>
      <c r="O2" s="5"/>
      <c r="P2" s="2"/>
      <c r="Q2" s="2"/>
      <c r="R2" s="2"/>
      <c r="S2" s="2"/>
      <c r="T2" s="2"/>
      <c r="U2" s="2"/>
      <c r="V2" s="2"/>
    </row>
    <row r="3">
      <c r="A3" s="6"/>
      <c r="B3" s="7" t="s">
        <v>8</v>
      </c>
      <c r="C3" s="8"/>
      <c r="D3" s="9"/>
      <c r="E3" s="10"/>
      <c r="F3" s="11" t="s">
        <v>9</v>
      </c>
      <c r="G3" s="11" t="s">
        <v>9</v>
      </c>
      <c r="H3" s="11" t="s">
        <v>10</v>
      </c>
      <c r="I3" s="11" t="s">
        <v>11</v>
      </c>
      <c r="J3" s="11" t="s">
        <v>12</v>
      </c>
      <c r="K3" s="11" t="s">
        <v>13</v>
      </c>
      <c r="L3" s="12"/>
      <c r="M3" s="12"/>
      <c r="N3" s="12"/>
      <c r="O3" s="12"/>
      <c r="P3" s="13"/>
      <c r="Q3" s="6"/>
      <c r="R3" s="6"/>
      <c r="S3" s="6"/>
      <c r="T3" s="6"/>
      <c r="U3" s="6"/>
      <c r="V3" s="6"/>
    </row>
    <row r="4">
      <c r="B4" s="14" t="s">
        <v>14</v>
      </c>
      <c r="C4" s="15"/>
      <c r="D4" s="9"/>
      <c r="E4" s="10"/>
      <c r="F4" s="16"/>
      <c r="G4" s="16"/>
      <c r="H4" s="16"/>
      <c r="I4" s="17"/>
      <c r="J4" s="18"/>
      <c r="K4" s="19"/>
      <c r="L4" s="18"/>
      <c r="M4" s="18"/>
      <c r="N4" s="18"/>
      <c r="O4" s="18"/>
    </row>
    <row r="5">
      <c r="B5" s="14" t="s">
        <v>15</v>
      </c>
      <c r="C5" s="15"/>
      <c r="D5" s="9"/>
      <c r="E5" s="10"/>
      <c r="F5" s="16">
        <v>45961.0</v>
      </c>
      <c r="G5" s="16">
        <v>45688.0</v>
      </c>
      <c r="H5" s="16"/>
      <c r="I5" s="16">
        <v>46081.0</v>
      </c>
      <c r="J5" s="18"/>
      <c r="K5" s="19"/>
      <c r="L5" s="18"/>
      <c r="M5" s="18"/>
      <c r="N5" s="18"/>
      <c r="O5" s="18"/>
    </row>
    <row r="6">
      <c r="D6" s="1"/>
    </row>
    <row r="7">
      <c r="B7" s="20" t="s">
        <v>16</v>
      </c>
      <c r="C7" s="20"/>
      <c r="D7" s="21"/>
      <c r="E7" s="22"/>
      <c r="F7" s="22"/>
      <c r="G7" s="22"/>
      <c r="H7" s="22"/>
      <c r="I7" s="22"/>
      <c r="J7" s="22"/>
      <c r="K7" s="22"/>
      <c r="L7" s="22"/>
      <c r="M7" s="22"/>
      <c r="N7" s="22"/>
      <c r="O7" s="22"/>
      <c r="P7" s="22"/>
      <c r="Q7" s="22"/>
    </row>
    <row r="8">
      <c r="A8" s="23"/>
      <c r="B8" s="24" t="s">
        <v>17</v>
      </c>
      <c r="C8" s="25"/>
      <c r="D8" s="26"/>
      <c r="E8" s="27" t="s">
        <v>18</v>
      </c>
      <c r="F8" s="27" t="s">
        <v>18</v>
      </c>
      <c r="G8" s="27" t="s">
        <v>18</v>
      </c>
      <c r="H8" s="27" t="s">
        <v>18</v>
      </c>
      <c r="I8" s="27" t="s">
        <v>18</v>
      </c>
      <c r="J8" s="27" t="s">
        <v>19</v>
      </c>
      <c r="K8" s="27" t="s">
        <v>19</v>
      </c>
      <c r="L8" s="23"/>
      <c r="M8" s="23"/>
      <c r="N8" s="23"/>
      <c r="O8" s="23"/>
      <c r="P8" s="23"/>
      <c r="Q8" s="23"/>
      <c r="R8" s="23"/>
      <c r="S8" s="23"/>
      <c r="T8" s="23"/>
      <c r="U8" s="23"/>
      <c r="V8" s="23"/>
    </row>
    <row r="9">
      <c r="A9" s="23"/>
      <c r="B9" s="24" t="s">
        <v>20</v>
      </c>
      <c r="C9" s="25"/>
      <c r="D9" s="28" t="s">
        <v>21</v>
      </c>
      <c r="E9" s="27" t="s">
        <v>19</v>
      </c>
      <c r="F9" s="27" t="s">
        <v>19</v>
      </c>
      <c r="G9" s="27" t="s">
        <v>19</v>
      </c>
      <c r="H9" s="27" t="s">
        <v>19</v>
      </c>
      <c r="I9" s="27" t="s">
        <v>19</v>
      </c>
      <c r="J9" s="27" t="s">
        <v>19</v>
      </c>
      <c r="K9" s="27" t="s">
        <v>19</v>
      </c>
      <c r="L9" s="23"/>
      <c r="M9" s="23"/>
      <c r="N9" s="23"/>
      <c r="O9" s="23"/>
      <c r="P9" s="23"/>
      <c r="Q9" s="23"/>
      <c r="R9" s="23"/>
      <c r="S9" s="23"/>
      <c r="T9" s="23"/>
      <c r="U9" s="23"/>
      <c r="V9" s="23"/>
    </row>
    <row r="10">
      <c r="A10" s="23"/>
      <c r="B10" s="24" t="s">
        <v>22</v>
      </c>
      <c r="C10" s="25"/>
      <c r="D10" s="28" t="s">
        <v>23</v>
      </c>
      <c r="E10" s="27" t="s">
        <v>18</v>
      </c>
      <c r="F10" s="27" t="s">
        <v>18</v>
      </c>
      <c r="G10" s="27" t="s">
        <v>18</v>
      </c>
      <c r="H10" s="27" t="s">
        <v>18</v>
      </c>
      <c r="I10" s="29" t="s">
        <v>19</v>
      </c>
      <c r="J10" s="27" t="s">
        <v>19</v>
      </c>
      <c r="K10" s="27" t="s">
        <v>19</v>
      </c>
      <c r="L10" s="23"/>
      <c r="M10" s="23"/>
      <c r="N10" s="23"/>
      <c r="O10" s="23"/>
      <c r="P10" s="23"/>
      <c r="Q10" s="23"/>
      <c r="R10" s="23"/>
      <c r="S10" s="23"/>
      <c r="T10" s="23"/>
      <c r="U10" s="23"/>
      <c r="V10" s="23"/>
    </row>
    <row r="11">
      <c r="A11" s="23"/>
      <c r="B11" s="24" t="s">
        <v>24</v>
      </c>
      <c r="C11" s="25"/>
      <c r="D11" s="28" t="s">
        <v>25</v>
      </c>
      <c r="E11" s="27" t="s">
        <v>26</v>
      </c>
      <c r="F11" s="27" t="s">
        <v>26</v>
      </c>
      <c r="G11" s="27" t="s">
        <v>26</v>
      </c>
      <c r="H11" s="27" t="s">
        <v>26</v>
      </c>
      <c r="I11" s="27" t="s">
        <v>26</v>
      </c>
      <c r="J11" s="27" t="s">
        <v>26</v>
      </c>
      <c r="K11" s="27" t="s">
        <v>26</v>
      </c>
      <c r="L11" s="23"/>
      <c r="M11" s="23"/>
      <c r="N11" s="23"/>
      <c r="O11" s="23"/>
      <c r="P11" s="23"/>
      <c r="Q11" s="23"/>
      <c r="R11" s="23"/>
      <c r="S11" s="23"/>
      <c r="T11" s="23"/>
      <c r="U11" s="23"/>
      <c r="V11" s="23"/>
    </row>
    <row r="12">
      <c r="A12" s="23"/>
      <c r="B12" s="24" t="s">
        <v>27</v>
      </c>
      <c r="C12" s="25"/>
      <c r="D12" s="28" t="s">
        <v>28</v>
      </c>
      <c r="E12" s="27" t="s">
        <v>19</v>
      </c>
      <c r="F12" s="27" t="s">
        <v>19</v>
      </c>
      <c r="G12" s="27" t="s">
        <v>19</v>
      </c>
      <c r="H12" s="27" t="s">
        <v>19</v>
      </c>
      <c r="I12" s="27" t="s">
        <v>19</v>
      </c>
      <c r="J12" s="27" t="s">
        <v>19</v>
      </c>
      <c r="K12" s="27" t="s">
        <v>19</v>
      </c>
      <c r="L12" s="23"/>
      <c r="M12" s="23"/>
      <c r="N12" s="23"/>
      <c r="O12" s="23"/>
      <c r="P12" s="23"/>
      <c r="Q12" s="23"/>
      <c r="R12" s="23"/>
      <c r="S12" s="23"/>
      <c r="T12" s="23"/>
      <c r="U12" s="23"/>
      <c r="V12" s="23"/>
    </row>
    <row r="13">
      <c r="A13" s="23"/>
      <c r="B13" s="24" t="s">
        <v>29</v>
      </c>
      <c r="C13" s="25"/>
      <c r="D13" s="28" t="s">
        <v>30</v>
      </c>
      <c r="E13" s="27" t="s">
        <v>19</v>
      </c>
      <c r="F13" s="27" t="s">
        <v>19</v>
      </c>
      <c r="G13" s="27" t="s">
        <v>19</v>
      </c>
      <c r="H13" s="27" t="s">
        <v>19</v>
      </c>
      <c r="I13" s="27" t="s">
        <v>19</v>
      </c>
      <c r="J13" s="27" t="s">
        <v>19</v>
      </c>
      <c r="K13" s="27" t="s">
        <v>19</v>
      </c>
      <c r="L13" s="23"/>
      <c r="M13" s="23"/>
      <c r="N13" s="23"/>
      <c r="O13" s="23"/>
      <c r="P13" s="23"/>
      <c r="Q13" s="23"/>
      <c r="R13" s="23"/>
      <c r="S13" s="23"/>
      <c r="T13" s="23"/>
      <c r="U13" s="23"/>
      <c r="V13" s="23"/>
    </row>
    <row r="14">
      <c r="A14" s="23"/>
      <c r="B14" s="24" t="s">
        <v>31</v>
      </c>
      <c r="C14" s="25"/>
      <c r="D14" s="26"/>
      <c r="E14" s="27" t="s">
        <v>32</v>
      </c>
      <c r="F14" s="27" t="s">
        <v>32</v>
      </c>
      <c r="G14" s="27" t="s">
        <v>32</v>
      </c>
      <c r="H14" s="27" t="s">
        <v>33</v>
      </c>
      <c r="I14" s="27" t="s">
        <v>33</v>
      </c>
      <c r="J14" s="27" t="s">
        <v>33</v>
      </c>
      <c r="K14" s="27" t="s">
        <v>33</v>
      </c>
      <c r="L14" s="23"/>
      <c r="M14" s="23"/>
      <c r="N14" s="23"/>
      <c r="O14" s="23"/>
      <c r="P14" s="23"/>
      <c r="Q14" s="23"/>
      <c r="R14" s="23"/>
      <c r="S14" s="23"/>
      <c r="T14" s="23"/>
      <c r="U14" s="23"/>
      <c r="V14" s="23"/>
    </row>
    <row r="15">
      <c r="A15" s="23"/>
      <c r="B15" s="24" t="s">
        <v>34</v>
      </c>
      <c r="C15" s="25"/>
      <c r="D15" s="28"/>
      <c r="E15" s="30" t="s">
        <v>35</v>
      </c>
      <c r="F15" s="30" t="s">
        <v>35</v>
      </c>
      <c r="G15" s="30" t="s">
        <v>35</v>
      </c>
      <c r="H15" s="30" t="s">
        <v>35</v>
      </c>
      <c r="I15" s="30" t="s">
        <v>35</v>
      </c>
      <c r="J15" s="30" t="s">
        <v>35</v>
      </c>
      <c r="K15" s="30" t="s">
        <v>35</v>
      </c>
      <c r="L15" s="23"/>
      <c r="M15" s="23"/>
      <c r="N15" s="23"/>
      <c r="O15" s="23"/>
      <c r="P15" s="23"/>
      <c r="Q15" s="23"/>
      <c r="R15" s="23"/>
      <c r="S15" s="23"/>
      <c r="T15" s="23"/>
      <c r="U15" s="23"/>
      <c r="V15" s="23"/>
    </row>
    <row r="16" outlineLevel="1">
      <c r="A16" s="23"/>
      <c r="C16" s="31" t="s">
        <v>36</v>
      </c>
      <c r="D16" s="28"/>
      <c r="E16" s="27" t="s">
        <v>37</v>
      </c>
      <c r="F16" s="27" t="s">
        <v>37</v>
      </c>
      <c r="G16" s="27" t="s">
        <v>37</v>
      </c>
      <c r="H16" s="27" t="s">
        <v>37</v>
      </c>
      <c r="I16" s="27" t="s">
        <v>37</v>
      </c>
      <c r="J16" s="27" t="s">
        <v>38</v>
      </c>
      <c r="K16" s="27" t="s">
        <v>38</v>
      </c>
      <c r="L16" s="23"/>
      <c r="M16" s="23"/>
      <c r="N16" s="23"/>
      <c r="O16" s="23"/>
      <c r="P16" s="23"/>
      <c r="Q16" s="23"/>
      <c r="R16" s="23"/>
      <c r="S16" s="23"/>
      <c r="T16" s="23"/>
      <c r="U16" s="23"/>
      <c r="V16" s="23"/>
    </row>
    <row r="17" outlineLevel="1">
      <c r="A17" s="23"/>
      <c r="C17" s="31" t="s">
        <v>39</v>
      </c>
      <c r="D17" s="32"/>
      <c r="E17" s="32" t="s">
        <v>40</v>
      </c>
      <c r="F17" s="32" t="s">
        <v>40</v>
      </c>
      <c r="G17" s="32" t="s">
        <v>40</v>
      </c>
      <c r="H17" s="32" t="s">
        <v>40</v>
      </c>
      <c r="I17" s="32" t="s">
        <v>41</v>
      </c>
      <c r="J17" s="32" t="s">
        <v>40</v>
      </c>
      <c r="K17" s="32" t="s">
        <v>40</v>
      </c>
      <c r="L17" s="23"/>
      <c r="M17" s="23"/>
      <c r="N17" s="23"/>
      <c r="O17" s="23"/>
      <c r="P17" s="23"/>
      <c r="Q17" s="23"/>
      <c r="R17" s="23"/>
      <c r="S17" s="23"/>
      <c r="T17" s="23"/>
      <c r="U17" s="23"/>
      <c r="V17" s="23"/>
    </row>
    <row r="18" outlineLevel="1">
      <c r="A18" s="23"/>
      <c r="C18" s="31" t="s">
        <v>42</v>
      </c>
      <c r="D18" s="28"/>
      <c r="E18" s="27" t="s">
        <v>43</v>
      </c>
      <c r="F18" s="27" t="s">
        <v>43</v>
      </c>
      <c r="G18" s="27" t="s">
        <v>43</v>
      </c>
      <c r="H18" s="27" t="s">
        <v>43</v>
      </c>
      <c r="I18" s="27" t="s">
        <v>44</v>
      </c>
      <c r="J18" s="27" t="s">
        <v>44</v>
      </c>
      <c r="K18" s="27" t="s">
        <v>45</v>
      </c>
      <c r="L18" s="23"/>
      <c r="M18" s="23"/>
      <c r="N18" s="23"/>
      <c r="O18" s="23"/>
      <c r="P18" s="23"/>
      <c r="Q18" s="23"/>
      <c r="R18" s="23"/>
      <c r="S18" s="23"/>
      <c r="T18" s="23"/>
      <c r="U18" s="23"/>
      <c r="V18" s="23"/>
    </row>
    <row r="19" outlineLevel="1">
      <c r="A19" s="23"/>
      <c r="C19" s="31" t="s">
        <v>46</v>
      </c>
      <c r="D19" s="26"/>
      <c r="E19" s="27" t="s">
        <v>47</v>
      </c>
      <c r="F19" s="27" t="s">
        <v>47</v>
      </c>
      <c r="G19" s="27" t="s">
        <v>47</v>
      </c>
      <c r="H19" s="27" t="s">
        <v>47</v>
      </c>
      <c r="I19" s="27" t="s">
        <v>48</v>
      </c>
      <c r="J19" s="27" t="s">
        <v>48</v>
      </c>
      <c r="K19" s="27" t="s">
        <v>49</v>
      </c>
      <c r="L19" s="23"/>
      <c r="M19" s="23"/>
      <c r="N19" s="23"/>
      <c r="O19" s="23"/>
      <c r="P19" s="23"/>
      <c r="Q19" s="23"/>
      <c r="R19" s="23"/>
      <c r="S19" s="23"/>
      <c r="T19" s="23"/>
      <c r="U19" s="23"/>
      <c r="V19" s="23"/>
    </row>
    <row r="20">
      <c r="A20" s="23"/>
      <c r="B20" s="24" t="s">
        <v>50</v>
      </c>
      <c r="C20" s="25"/>
      <c r="D20" s="26"/>
      <c r="E20" s="30" t="s">
        <v>35</v>
      </c>
      <c r="F20" s="30" t="s">
        <v>35</v>
      </c>
      <c r="G20" s="30" t="s">
        <v>35</v>
      </c>
      <c r="H20" s="30" t="s">
        <v>35</v>
      </c>
      <c r="I20" s="30" t="s">
        <v>35</v>
      </c>
      <c r="J20" s="30" t="s">
        <v>35</v>
      </c>
      <c r="K20" s="30" t="s">
        <v>35</v>
      </c>
      <c r="L20" s="23"/>
      <c r="M20" s="23"/>
      <c r="N20" s="23"/>
      <c r="O20" s="23"/>
      <c r="P20" s="23"/>
      <c r="Q20" s="23"/>
      <c r="R20" s="23"/>
      <c r="S20" s="23"/>
      <c r="T20" s="23"/>
      <c r="U20" s="23"/>
      <c r="V20" s="23"/>
    </row>
    <row r="21" outlineLevel="1">
      <c r="A21" s="23"/>
      <c r="B21" s="24"/>
      <c r="C21" s="33" t="s">
        <v>51</v>
      </c>
      <c r="D21" s="28"/>
      <c r="E21" s="27" t="s">
        <v>19</v>
      </c>
      <c r="F21" s="27" t="s">
        <v>19</v>
      </c>
      <c r="G21" s="27" t="s">
        <v>19</v>
      </c>
      <c r="H21" s="27" t="s">
        <v>19</v>
      </c>
      <c r="I21" s="27" t="s">
        <v>19</v>
      </c>
      <c r="J21" s="27" t="s">
        <v>19</v>
      </c>
      <c r="K21" s="27" t="s">
        <v>19</v>
      </c>
      <c r="L21" s="23"/>
      <c r="M21" s="23"/>
      <c r="N21" s="23"/>
      <c r="O21" s="23"/>
      <c r="P21" s="23"/>
      <c r="Q21" s="23"/>
      <c r="R21" s="23"/>
      <c r="S21" s="23"/>
      <c r="T21" s="23"/>
      <c r="U21" s="23"/>
      <c r="V21" s="23"/>
    </row>
    <row r="22" outlineLevel="1">
      <c r="A22" s="23"/>
      <c r="B22" s="24"/>
      <c r="C22" s="33" t="s">
        <v>52</v>
      </c>
      <c r="D22" s="28"/>
      <c r="E22" s="27" t="s">
        <v>18</v>
      </c>
      <c r="F22" s="27" t="s">
        <v>18</v>
      </c>
      <c r="G22" s="27" t="s">
        <v>18</v>
      </c>
      <c r="H22" s="27" t="s">
        <v>19</v>
      </c>
      <c r="I22" s="27" t="s">
        <v>19</v>
      </c>
      <c r="J22" s="27" t="s">
        <v>19</v>
      </c>
      <c r="K22" s="27" t="s">
        <v>19</v>
      </c>
      <c r="L22" s="23"/>
      <c r="M22" s="23"/>
      <c r="N22" s="23"/>
      <c r="O22" s="23"/>
      <c r="P22" s="23"/>
      <c r="Q22" s="23"/>
      <c r="R22" s="23"/>
      <c r="S22" s="23"/>
      <c r="T22" s="23"/>
      <c r="U22" s="23"/>
      <c r="V22" s="23"/>
    </row>
    <row r="23" outlineLevel="1">
      <c r="A23" s="23"/>
      <c r="B23" s="24"/>
      <c r="C23" s="33" t="s">
        <v>53</v>
      </c>
      <c r="D23" s="28"/>
      <c r="E23" s="27" t="s">
        <v>18</v>
      </c>
      <c r="F23" s="27" t="s">
        <v>18</v>
      </c>
      <c r="G23" s="27" t="s">
        <v>18</v>
      </c>
      <c r="H23" s="27" t="s">
        <v>19</v>
      </c>
      <c r="I23" s="27" t="s">
        <v>19</v>
      </c>
      <c r="J23" s="27" t="s">
        <v>19</v>
      </c>
      <c r="K23" s="27" t="s">
        <v>19</v>
      </c>
      <c r="L23" s="23"/>
      <c r="M23" s="23"/>
      <c r="N23" s="23"/>
      <c r="O23" s="23"/>
      <c r="P23" s="23"/>
      <c r="Q23" s="23"/>
      <c r="R23" s="23"/>
      <c r="S23" s="23"/>
      <c r="T23" s="23"/>
      <c r="U23" s="23"/>
      <c r="V23" s="23"/>
    </row>
    <row r="24" outlineLevel="1">
      <c r="A24" s="23"/>
      <c r="B24" s="24"/>
      <c r="C24" s="33" t="s">
        <v>54</v>
      </c>
      <c r="D24" s="28"/>
      <c r="E24" s="27" t="s">
        <v>18</v>
      </c>
      <c r="F24" s="27" t="s">
        <v>18</v>
      </c>
      <c r="G24" s="27" t="s">
        <v>18</v>
      </c>
      <c r="H24" s="27" t="s">
        <v>18</v>
      </c>
      <c r="I24" s="27" t="s">
        <v>18</v>
      </c>
      <c r="J24" s="27" t="s">
        <v>19</v>
      </c>
      <c r="K24" s="27" t="s">
        <v>19</v>
      </c>
      <c r="L24" s="23"/>
      <c r="M24" s="23"/>
      <c r="N24" s="23"/>
      <c r="O24" s="23"/>
      <c r="P24" s="23"/>
      <c r="Q24" s="23"/>
      <c r="R24" s="23"/>
      <c r="S24" s="23"/>
      <c r="T24" s="23"/>
      <c r="U24" s="23"/>
      <c r="V24" s="23"/>
    </row>
    <row r="25" outlineLevel="1">
      <c r="A25" s="23"/>
      <c r="B25" s="25"/>
      <c r="C25" s="33" t="s">
        <v>55</v>
      </c>
      <c r="D25" s="28"/>
      <c r="E25" s="27" t="s">
        <v>18</v>
      </c>
      <c r="F25" s="27" t="s">
        <v>18</v>
      </c>
      <c r="G25" s="27" t="s">
        <v>18</v>
      </c>
      <c r="H25" s="27" t="s">
        <v>18</v>
      </c>
      <c r="I25" s="27" t="s">
        <v>19</v>
      </c>
      <c r="J25" s="27" t="s">
        <v>19</v>
      </c>
      <c r="K25" s="27" t="s">
        <v>19</v>
      </c>
      <c r="L25" s="23"/>
      <c r="M25" s="23"/>
      <c r="N25" s="23"/>
      <c r="O25" s="23"/>
      <c r="P25" s="23"/>
      <c r="Q25" s="23"/>
      <c r="R25" s="23"/>
      <c r="S25" s="23"/>
      <c r="T25" s="23"/>
      <c r="U25" s="23"/>
      <c r="V25" s="23"/>
    </row>
    <row r="26">
      <c r="A26" s="23"/>
      <c r="B26" s="25"/>
      <c r="C26" s="34"/>
      <c r="D26" s="26"/>
      <c r="E26" s="23"/>
      <c r="F26" s="23"/>
      <c r="G26" s="23"/>
      <c r="H26" s="23"/>
      <c r="I26" s="23"/>
      <c r="J26" s="23"/>
      <c r="K26" s="23"/>
      <c r="L26" s="23"/>
      <c r="M26" s="23"/>
      <c r="N26" s="23"/>
      <c r="O26" s="23"/>
      <c r="P26" s="23"/>
      <c r="Q26" s="23"/>
      <c r="R26" s="23"/>
      <c r="S26" s="23"/>
      <c r="T26" s="23"/>
      <c r="U26" s="23"/>
      <c r="V26" s="23"/>
    </row>
    <row r="27">
      <c r="B27" s="35" t="s">
        <v>56</v>
      </c>
      <c r="C27" s="35"/>
      <c r="D27" s="36"/>
      <c r="E27" s="37"/>
      <c r="F27" s="37"/>
      <c r="G27" s="37"/>
      <c r="H27" s="37"/>
      <c r="I27" s="37"/>
      <c r="J27" s="37"/>
      <c r="K27" s="37"/>
      <c r="L27" s="37"/>
      <c r="M27" s="37"/>
      <c r="N27" s="37"/>
      <c r="O27" s="37"/>
      <c r="P27" s="37"/>
      <c r="Q27" s="37"/>
    </row>
    <row r="28" collapsed="1">
      <c r="A28" s="38"/>
      <c r="B28" s="39" t="s">
        <v>57</v>
      </c>
      <c r="C28" s="40"/>
      <c r="D28" s="41"/>
      <c r="E28" s="42" t="s">
        <v>18</v>
      </c>
      <c r="F28" s="42" t="s">
        <v>58</v>
      </c>
      <c r="G28" s="42" t="s">
        <v>58</v>
      </c>
      <c r="H28" s="42" t="s">
        <v>19</v>
      </c>
      <c r="I28" s="42" t="s">
        <v>19</v>
      </c>
      <c r="J28" s="42" t="s">
        <v>19</v>
      </c>
      <c r="K28" s="42" t="s">
        <v>19</v>
      </c>
      <c r="L28" s="38"/>
      <c r="M28" s="38"/>
      <c r="N28" s="38"/>
      <c r="O28" s="38"/>
      <c r="P28" s="38"/>
      <c r="Q28" s="38"/>
      <c r="R28" s="38"/>
      <c r="S28" s="38"/>
      <c r="T28" s="38"/>
      <c r="U28" s="38"/>
      <c r="V28" s="38"/>
    </row>
    <row r="29" hidden="1" outlineLevel="1">
      <c r="A29" s="23"/>
      <c r="C29" s="31" t="s">
        <v>59</v>
      </c>
      <c r="D29" s="28" t="s">
        <v>60</v>
      </c>
      <c r="E29" s="27" t="s">
        <v>19</v>
      </c>
      <c r="F29" s="27" t="s">
        <v>19</v>
      </c>
      <c r="G29" s="27" t="s">
        <v>19</v>
      </c>
      <c r="H29" s="27" t="s">
        <v>19</v>
      </c>
      <c r="I29" s="27" t="s">
        <v>19</v>
      </c>
      <c r="J29" s="27" t="s">
        <v>19</v>
      </c>
      <c r="K29" s="27" t="s">
        <v>19</v>
      </c>
      <c r="L29" s="23"/>
      <c r="M29" s="23"/>
      <c r="N29" s="23"/>
      <c r="O29" s="23"/>
      <c r="P29" s="23"/>
      <c r="Q29" s="23"/>
      <c r="R29" s="23"/>
      <c r="S29" s="23"/>
      <c r="T29" s="23"/>
      <c r="U29" s="23"/>
      <c r="V29" s="23"/>
    </row>
    <row r="30" hidden="1" outlineLevel="1">
      <c r="A30" s="23"/>
      <c r="C30" s="31" t="s">
        <v>61</v>
      </c>
      <c r="D30" s="28" t="s">
        <v>62</v>
      </c>
      <c r="E30" s="27" t="s">
        <v>18</v>
      </c>
      <c r="F30" s="27" t="s">
        <v>18</v>
      </c>
      <c r="G30" s="27" t="s">
        <v>18</v>
      </c>
      <c r="H30" s="27" t="s">
        <v>19</v>
      </c>
      <c r="I30" s="27" t="s">
        <v>19</v>
      </c>
      <c r="J30" s="27" t="s">
        <v>19</v>
      </c>
      <c r="K30" s="27" t="s">
        <v>19</v>
      </c>
      <c r="L30" s="23"/>
      <c r="M30" s="23"/>
      <c r="N30" s="23"/>
      <c r="O30" s="23"/>
      <c r="P30" s="23"/>
      <c r="Q30" s="23"/>
      <c r="R30" s="23"/>
      <c r="S30" s="23"/>
      <c r="T30" s="23"/>
      <c r="U30" s="23"/>
      <c r="V30" s="23"/>
    </row>
    <row r="31" hidden="1" outlineLevel="1">
      <c r="A31" s="23"/>
      <c r="C31" s="31" t="s">
        <v>63</v>
      </c>
      <c r="D31" s="28" t="s">
        <v>64</v>
      </c>
      <c r="E31" s="27" t="s">
        <v>18</v>
      </c>
      <c r="F31" s="27" t="s">
        <v>18</v>
      </c>
      <c r="G31" s="27" t="s">
        <v>19</v>
      </c>
      <c r="H31" s="27" t="s">
        <v>19</v>
      </c>
      <c r="I31" s="27" t="s">
        <v>19</v>
      </c>
      <c r="J31" s="27" t="s">
        <v>19</v>
      </c>
      <c r="K31" s="27" t="s">
        <v>19</v>
      </c>
      <c r="L31" s="23"/>
      <c r="M31" s="23"/>
      <c r="N31" s="23"/>
      <c r="O31" s="23"/>
      <c r="P31" s="23"/>
      <c r="Q31" s="23"/>
      <c r="R31" s="23"/>
      <c r="S31" s="23"/>
      <c r="T31" s="23"/>
      <c r="U31" s="23"/>
      <c r="V31" s="23"/>
    </row>
    <row r="32" hidden="1" outlineLevel="1">
      <c r="A32" s="23"/>
      <c r="C32" s="31" t="s">
        <v>65</v>
      </c>
      <c r="D32" s="28" t="s">
        <v>66</v>
      </c>
      <c r="E32" s="27" t="s">
        <v>18</v>
      </c>
      <c r="F32" s="27" t="s">
        <v>18</v>
      </c>
      <c r="G32" s="27" t="s">
        <v>58</v>
      </c>
      <c r="H32" s="27" t="s">
        <v>19</v>
      </c>
      <c r="I32" s="27" t="s">
        <v>19</v>
      </c>
      <c r="J32" s="27" t="s">
        <v>19</v>
      </c>
      <c r="K32" s="27" t="s">
        <v>19</v>
      </c>
      <c r="L32" s="23"/>
      <c r="M32" s="23"/>
      <c r="N32" s="23"/>
      <c r="O32" s="23"/>
      <c r="P32" s="23"/>
      <c r="Q32" s="23"/>
      <c r="R32" s="23"/>
      <c r="S32" s="23"/>
      <c r="T32" s="23"/>
      <c r="U32" s="23"/>
      <c r="V32" s="23"/>
    </row>
    <row r="33" hidden="1" outlineLevel="1">
      <c r="A33" s="23"/>
      <c r="C33" s="31" t="s">
        <v>67</v>
      </c>
      <c r="D33" s="28" t="s">
        <v>68</v>
      </c>
      <c r="E33" s="27" t="s">
        <v>18</v>
      </c>
      <c r="F33" s="27" t="s">
        <v>18</v>
      </c>
      <c r="G33" s="27" t="s">
        <v>19</v>
      </c>
      <c r="H33" s="27" t="s">
        <v>19</v>
      </c>
      <c r="I33" s="27" t="s">
        <v>19</v>
      </c>
      <c r="J33" s="27" t="s">
        <v>19</v>
      </c>
      <c r="K33" s="27" t="s">
        <v>19</v>
      </c>
      <c r="L33" s="23"/>
      <c r="M33" s="23"/>
      <c r="N33" s="23"/>
      <c r="O33" s="23"/>
      <c r="P33" s="23"/>
      <c r="Q33" s="23"/>
      <c r="R33" s="23"/>
      <c r="S33" s="23"/>
      <c r="T33" s="23"/>
      <c r="U33" s="23"/>
      <c r="V33" s="23"/>
    </row>
    <row r="34">
      <c r="A34" s="38"/>
      <c r="B34" s="39" t="s">
        <v>69</v>
      </c>
      <c r="C34" s="40"/>
      <c r="D34" s="43" t="s">
        <v>70</v>
      </c>
      <c r="E34" s="42" t="s">
        <v>18</v>
      </c>
      <c r="F34" s="42" t="s">
        <v>19</v>
      </c>
      <c r="G34" s="42" t="s">
        <v>19</v>
      </c>
      <c r="H34" s="42" t="s">
        <v>19</v>
      </c>
      <c r="I34" s="42" t="s">
        <v>19</v>
      </c>
      <c r="J34" s="42" t="s">
        <v>19</v>
      </c>
      <c r="K34" s="42" t="s">
        <v>19</v>
      </c>
      <c r="L34" s="38"/>
      <c r="M34" s="38"/>
      <c r="N34" s="38"/>
      <c r="O34" s="38"/>
      <c r="P34" s="38"/>
      <c r="Q34" s="38"/>
      <c r="R34" s="38"/>
      <c r="S34" s="38"/>
      <c r="T34" s="38"/>
      <c r="U34" s="38"/>
      <c r="V34" s="38"/>
    </row>
    <row r="35">
      <c r="A35" s="38"/>
      <c r="B35" s="39" t="s">
        <v>71</v>
      </c>
      <c r="C35" s="40"/>
      <c r="D35" s="43" t="s">
        <v>72</v>
      </c>
      <c r="E35" s="42" t="s">
        <v>18</v>
      </c>
      <c r="F35" s="42" t="s">
        <v>18</v>
      </c>
      <c r="G35" s="42" t="s">
        <v>18</v>
      </c>
      <c r="H35" s="42" t="s">
        <v>18</v>
      </c>
      <c r="I35" s="42" t="s">
        <v>18</v>
      </c>
      <c r="J35" s="42" t="s">
        <v>18</v>
      </c>
      <c r="K35" s="42" t="s">
        <v>18</v>
      </c>
      <c r="L35" s="38"/>
      <c r="M35" s="38"/>
      <c r="N35" s="38"/>
      <c r="O35" s="38"/>
      <c r="P35" s="38"/>
      <c r="Q35" s="38"/>
      <c r="R35" s="38"/>
      <c r="S35" s="38"/>
      <c r="T35" s="38"/>
      <c r="U35" s="38"/>
      <c r="V35" s="38"/>
    </row>
    <row r="36">
      <c r="A36" s="38"/>
      <c r="B36" s="39" t="s">
        <v>73</v>
      </c>
      <c r="C36" s="40"/>
      <c r="D36" s="43" t="s">
        <v>74</v>
      </c>
      <c r="E36" s="42" t="s">
        <v>19</v>
      </c>
      <c r="F36" s="42" t="s">
        <v>19</v>
      </c>
      <c r="G36" s="42" t="s">
        <v>19</v>
      </c>
      <c r="H36" s="42" t="s">
        <v>19</v>
      </c>
      <c r="I36" s="42" t="s">
        <v>19</v>
      </c>
      <c r="J36" s="42" t="s">
        <v>19</v>
      </c>
      <c r="K36" s="42" t="s">
        <v>19</v>
      </c>
      <c r="L36" s="38"/>
      <c r="M36" s="38"/>
      <c r="N36" s="38"/>
      <c r="O36" s="38"/>
      <c r="P36" s="38"/>
      <c r="Q36" s="38"/>
      <c r="R36" s="38"/>
      <c r="S36" s="38"/>
      <c r="T36" s="38"/>
      <c r="U36" s="38"/>
      <c r="V36" s="38"/>
    </row>
    <row r="37">
      <c r="A37" s="38"/>
      <c r="B37" s="39" t="s">
        <v>75</v>
      </c>
      <c r="C37" s="40"/>
      <c r="D37" s="43" t="s">
        <v>76</v>
      </c>
      <c r="E37" s="42" t="s">
        <v>19</v>
      </c>
      <c r="F37" s="42" t="s">
        <v>19</v>
      </c>
      <c r="G37" s="42" t="s">
        <v>19</v>
      </c>
      <c r="H37" s="42" t="s">
        <v>19</v>
      </c>
      <c r="I37" s="42" t="s">
        <v>19</v>
      </c>
      <c r="J37" s="42" t="s">
        <v>19</v>
      </c>
      <c r="K37" s="42" t="s">
        <v>19</v>
      </c>
      <c r="L37" s="38"/>
      <c r="M37" s="38"/>
      <c r="N37" s="38"/>
      <c r="O37" s="38"/>
      <c r="P37" s="38"/>
      <c r="Q37" s="38"/>
      <c r="R37" s="38"/>
      <c r="S37" s="38"/>
      <c r="T37" s="38"/>
      <c r="U37" s="38"/>
      <c r="V37" s="38"/>
    </row>
    <row r="38">
      <c r="A38" s="38"/>
      <c r="B38" s="39" t="s">
        <v>77</v>
      </c>
      <c r="C38" s="40"/>
      <c r="D38" s="41"/>
      <c r="E38" s="42" t="s">
        <v>18</v>
      </c>
      <c r="F38" s="42" t="s">
        <v>58</v>
      </c>
      <c r="G38" s="42" t="s">
        <v>19</v>
      </c>
      <c r="H38" s="42" t="s">
        <v>19</v>
      </c>
      <c r="I38" s="42" t="s">
        <v>19</v>
      </c>
      <c r="J38" s="42" t="s">
        <v>19</v>
      </c>
      <c r="K38" s="42" t="s">
        <v>19</v>
      </c>
      <c r="L38" s="38"/>
      <c r="M38" s="38"/>
      <c r="N38" s="38"/>
      <c r="O38" s="38"/>
      <c r="P38" s="38"/>
      <c r="Q38" s="38"/>
      <c r="R38" s="38"/>
      <c r="S38" s="38"/>
      <c r="T38" s="38"/>
      <c r="U38" s="38"/>
      <c r="V38" s="38"/>
    </row>
    <row r="39">
      <c r="A39" s="38"/>
      <c r="B39" s="39" t="s">
        <v>78</v>
      </c>
      <c r="C39" s="40"/>
      <c r="D39" s="43" t="s">
        <v>79</v>
      </c>
      <c r="E39" s="42" t="s">
        <v>18</v>
      </c>
      <c r="F39" s="42" t="s">
        <v>18</v>
      </c>
      <c r="G39" s="42" t="s">
        <v>19</v>
      </c>
      <c r="H39" s="42" t="s">
        <v>19</v>
      </c>
      <c r="I39" s="42" t="s">
        <v>19</v>
      </c>
      <c r="J39" s="42" t="s">
        <v>19</v>
      </c>
      <c r="K39" s="42" t="s">
        <v>19</v>
      </c>
      <c r="L39" s="38"/>
      <c r="M39" s="38"/>
      <c r="N39" s="38"/>
      <c r="O39" s="38"/>
      <c r="P39" s="38"/>
      <c r="Q39" s="38"/>
      <c r="R39" s="38"/>
      <c r="S39" s="38"/>
      <c r="T39" s="38"/>
      <c r="U39" s="38"/>
      <c r="V39" s="38"/>
    </row>
    <row r="40">
      <c r="A40" s="38"/>
      <c r="B40" s="39" t="s">
        <v>80</v>
      </c>
      <c r="C40" s="40"/>
      <c r="D40" s="43" t="s">
        <v>81</v>
      </c>
      <c r="E40" s="42" t="s">
        <v>18</v>
      </c>
      <c r="F40" s="42" t="s">
        <v>18</v>
      </c>
      <c r="G40" s="42" t="s">
        <v>18</v>
      </c>
      <c r="H40" s="42" t="s">
        <v>19</v>
      </c>
      <c r="I40" s="42" t="s">
        <v>19</v>
      </c>
      <c r="J40" s="42" t="s">
        <v>19</v>
      </c>
      <c r="K40" s="42" t="s">
        <v>19</v>
      </c>
      <c r="L40" s="38"/>
      <c r="M40" s="38"/>
      <c r="N40" s="38"/>
      <c r="O40" s="38"/>
      <c r="P40" s="38"/>
      <c r="Q40" s="38"/>
      <c r="R40" s="38"/>
      <c r="S40" s="38"/>
      <c r="T40" s="38"/>
      <c r="U40" s="38"/>
      <c r="V40" s="38"/>
    </row>
    <row r="41">
      <c r="A41" s="38"/>
      <c r="B41" s="39" t="s">
        <v>82</v>
      </c>
      <c r="C41" s="40"/>
      <c r="D41" s="43" t="s">
        <v>83</v>
      </c>
      <c r="E41" s="44" t="s">
        <v>84</v>
      </c>
      <c r="F41" s="45">
        <v>0.75</v>
      </c>
      <c r="G41" s="45">
        <v>0.75</v>
      </c>
      <c r="H41" s="46">
        <v>0.85</v>
      </c>
      <c r="I41" s="46">
        <v>0.85</v>
      </c>
      <c r="J41" s="45">
        <v>0.95</v>
      </c>
      <c r="K41" s="45">
        <v>0.95</v>
      </c>
      <c r="L41" s="38"/>
      <c r="M41" s="38"/>
      <c r="N41" s="38"/>
      <c r="O41" s="38"/>
      <c r="P41" s="38"/>
      <c r="Q41" s="38"/>
      <c r="R41" s="38"/>
      <c r="S41" s="38"/>
      <c r="T41" s="38"/>
      <c r="U41" s="38"/>
      <c r="V41" s="38"/>
    </row>
    <row r="42">
      <c r="A42" s="38"/>
      <c r="B42" s="39" t="s">
        <v>85</v>
      </c>
      <c r="C42" s="40"/>
      <c r="D42" s="43" t="s">
        <v>86</v>
      </c>
      <c r="E42" s="44" t="s">
        <v>84</v>
      </c>
      <c r="F42" s="47" t="s">
        <v>87</v>
      </c>
      <c r="G42" s="47" t="s">
        <v>87</v>
      </c>
      <c r="H42" s="47" t="s">
        <v>88</v>
      </c>
      <c r="I42" s="47" t="s">
        <v>88</v>
      </c>
      <c r="J42" s="47" t="s">
        <v>89</v>
      </c>
      <c r="K42" s="47" t="s">
        <v>89</v>
      </c>
      <c r="L42" s="38"/>
      <c r="M42" s="38"/>
      <c r="N42" s="38"/>
      <c r="O42" s="38"/>
      <c r="P42" s="38"/>
      <c r="Q42" s="38"/>
      <c r="R42" s="38"/>
      <c r="S42" s="38"/>
      <c r="T42" s="38"/>
      <c r="U42" s="38"/>
      <c r="V42" s="38"/>
    </row>
    <row r="43">
      <c r="A43" s="38"/>
      <c r="B43" s="39" t="s">
        <v>90</v>
      </c>
      <c r="C43" s="40"/>
      <c r="D43" s="43" t="s">
        <v>91</v>
      </c>
      <c r="E43" s="44" t="s">
        <v>84</v>
      </c>
      <c r="F43" s="44" t="s">
        <v>84</v>
      </c>
      <c r="G43" s="44" t="s">
        <v>84</v>
      </c>
      <c r="H43" s="48">
        <v>0.8</v>
      </c>
      <c r="I43" s="48">
        <v>0.8</v>
      </c>
      <c r="J43" s="44" t="s">
        <v>84</v>
      </c>
      <c r="K43" s="48">
        <v>0.98</v>
      </c>
      <c r="L43" s="38"/>
      <c r="M43" s="38"/>
      <c r="N43" s="38"/>
      <c r="O43" s="38"/>
      <c r="P43" s="38"/>
      <c r="Q43" s="38"/>
      <c r="R43" s="38"/>
      <c r="S43" s="38"/>
      <c r="T43" s="38"/>
      <c r="U43" s="38"/>
      <c r="V43" s="38"/>
    </row>
    <row r="44" collapsed="1">
      <c r="A44" s="38"/>
      <c r="B44" s="39" t="s">
        <v>92</v>
      </c>
      <c r="C44" s="40"/>
      <c r="D44" s="43" t="s">
        <v>93</v>
      </c>
      <c r="E44" s="49">
        <f t="shared" ref="E44:K44" si="1">5%*IF(E45="Yes",1, IF(E45="Partial", 0.5, 0)) + 15%*IF(E46="Yes",1, IF(E46="Partial", 0.5, 0)) + 80%*IF(E47="Yes",1, IF(E47="Partial", 0.5, 0))</f>
        <v>0.175</v>
      </c>
      <c r="F44" s="49">
        <f t="shared" si="1"/>
        <v>0.175</v>
      </c>
      <c r="G44" s="49">
        <f t="shared" si="1"/>
        <v>0.175</v>
      </c>
      <c r="H44" s="49">
        <f t="shared" si="1"/>
        <v>0.575</v>
      </c>
      <c r="I44" s="49">
        <f t="shared" si="1"/>
        <v>0.575</v>
      </c>
      <c r="J44" s="49">
        <f t="shared" si="1"/>
        <v>0</v>
      </c>
      <c r="K44" s="49">
        <f t="shared" si="1"/>
        <v>1</v>
      </c>
      <c r="L44" s="38"/>
      <c r="M44" s="38"/>
      <c r="N44" s="38"/>
      <c r="O44" s="38"/>
      <c r="P44" s="38"/>
      <c r="Q44" s="38"/>
      <c r="R44" s="38"/>
      <c r="S44" s="38"/>
      <c r="T44" s="38"/>
      <c r="U44" s="38"/>
      <c r="V44" s="38"/>
    </row>
    <row r="45" hidden="1" outlineLevel="1">
      <c r="A45" s="38"/>
      <c r="B45" s="40"/>
      <c r="C45" s="33" t="s">
        <v>94</v>
      </c>
      <c r="D45" s="41"/>
      <c r="E45" s="42" t="s">
        <v>58</v>
      </c>
      <c r="F45" s="42" t="s">
        <v>58</v>
      </c>
      <c r="G45" s="42" t="s">
        <v>58</v>
      </c>
      <c r="H45" s="42" t="s">
        <v>58</v>
      </c>
      <c r="I45" s="42" t="s">
        <v>58</v>
      </c>
      <c r="J45" s="42" t="s">
        <v>18</v>
      </c>
      <c r="K45" s="42" t="s">
        <v>19</v>
      </c>
      <c r="L45" s="38"/>
      <c r="M45" s="38"/>
      <c r="N45" s="38"/>
      <c r="O45" s="38"/>
      <c r="P45" s="38"/>
      <c r="Q45" s="38"/>
      <c r="R45" s="38"/>
      <c r="S45" s="38"/>
      <c r="T45" s="38"/>
      <c r="U45" s="38"/>
      <c r="V45" s="38"/>
    </row>
    <row r="46" hidden="1" outlineLevel="1">
      <c r="A46" s="38"/>
      <c r="B46" s="40"/>
      <c r="C46" s="33" t="s">
        <v>95</v>
      </c>
      <c r="D46" s="41"/>
      <c r="E46" s="42" t="s">
        <v>19</v>
      </c>
      <c r="F46" s="42" t="s">
        <v>19</v>
      </c>
      <c r="G46" s="42" t="s">
        <v>19</v>
      </c>
      <c r="H46" s="42" t="s">
        <v>19</v>
      </c>
      <c r="I46" s="42" t="s">
        <v>19</v>
      </c>
      <c r="J46" s="42" t="s">
        <v>18</v>
      </c>
      <c r="K46" s="42" t="s">
        <v>19</v>
      </c>
      <c r="L46" s="38"/>
      <c r="M46" s="38"/>
      <c r="N46" s="38"/>
      <c r="O46" s="38"/>
      <c r="P46" s="38"/>
      <c r="Q46" s="38"/>
      <c r="R46" s="38"/>
      <c r="S46" s="38"/>
      <c r="T46" s="38"/>
      <c r="U46" s="38"/>
      <c r="V46" s="38"/>
    </row>
    <row r="47" hidden="1" outlineLevel="1">
      <c r="A47" s="38"/>
      <c r="B47" s="40"/>
      <c r="C47" s="33" t="s">
        <v>96</v>
      </c>
      <c r="D47" s="41"/>
      <c r="E47" s="42" t="s">
        <v>18</v>
      </c>
      <c r="F47" s="42" t="s">
        <v>18</v>
      </c>
      <c r="G47" s="42" t="s">
        <v>18</v>
      </c>
      <c r="H47" s="42" t="s">
        <v>58</v>
      </c>
      <c r="I47" s="42" t="s">
        <v>58</v>
      </c>
      <c r="J47" s="42" t="s">
        <v>18</v>
      </c>
      <c r="K47" s="42" t="s">
        <v>19</v>
      </c>
      <c r="L47" s="38"/>
      <c r="M47" s="38"/>
      <c r="N47" s="38"/>
      <c r="O47" s="38"/>
      <c r="P47" s="38"/>
      <c r="Q47" s="38"/>
      <c r="R47" s="38"/>
      <c r="S47" s="38"/>
      <c r="T47" s="38"/>
      <c r="U47" s="38"/>
      <c r="V47" s="38"/>
    </row>
    <row r="48" collapsed="1">
      <c r="A48" s="38"/>
      <c r="B48" s="39" t="s">
        <v>97</v>
      </c>
      <c r="C48" s="33"/>
      <c r="D48" s="43" t="s">
        <v>98</v>
      </c>
      <c r="E48" s="42" t="s">
        <v>18</v>
      </c>
      <c r="F48" s="42" t="s">
        <v>18</v>
      </c>
      <c r="G48" s="42" t="s">
        <v>18</v>
      </c>
      <c r="H48" s="42" t="s">
        <v>18</v>
      </c>
      <c r="I48" s="42" t="s">
        <v>18</v>
      </c>
      <c r="J48" s="42" t="s">
        <v>18</v>
      </c>
      <c r="K48" s="42" t="s">
        <v>58</v>
      </c>
      <c r="L48" s="38"/>
      <c r="M48" s="38"/>
      <c r="N48" s="38"/>
      <c r="O48" s="38"/>
      <c r="P48" s="38"/>
      <c r="Q48" s="38"/>
      <c r="R48" s="38"/>
      <c r="S48" s="38"/>
      <c r="T48" s="38"/>
      <c r="U48" s="38"/>
      <c r="V48" s="38"/>
    </row>
    <row r="49" hidden="1" outlineLevel="1">
      <c r="A49" s="38"/>
      <c r="B49" s="40"/>
      <c r="C49" s="33" t="s">
        <v>99</v>
      </c>
      <c r="D49" s="41"/>
      <c r="E49" s="42" t="s">
        <v>18</v>
      </c>
      <c r="F49" s="42" t="s">
        <v>18</v>
      </c>
      <c r="G49" s="42" t="s">
        <v>18</v>
      </c>
      <c r="H49" s="42" t="s">
        <v>18</v>
      </c>
      <c r="I49" s="42" t="s">
        <v>18</v>
      </c>
      <c r="J49" s="42" t="s">
        <v>18</v>
      </c>
      <c r="K49" s="42" t="s">
        <v>19</v>
      </c>
      <c r="L49" s="38"/>
      <c r="M49" s="38"/>
      <c r="N49" s="38"/>
      <c r="O49" s="38"/>
      <c r="P49" s="38"/>
      <c r="Q49" s="38"/>
      <c r="R49" s="38"/>
      <c r="S49" s="38"/>
      <c r="T49" s="38"/>
      <c r="U49" s="38"/>
      <c r="V49" s="38"/>
    </row>
    <row r="50" hidden="1" outlineLevel="1">
      <c r="A50" s="38"/>
      <c r="B50" s="40"/>
      <c r="C50" s="33" t="s">
        <v>100</v>
      </c>
      <c r="D50" s="41"/>
      <c r="E50" s="42" t="s">
        <v>18</v>
      </c>
      <c r="F50" s="42" t="s">
        <v>18</v>
      </c>
      <c r="G50" s="42" t="s">
        <v>18</v>
      </c>
      <c r="H50" s="42" t="s">
        <v>18</v>
      </c>
      <c r="I50" s="42" t="s">
        <v>18</v>
      </c>
      <c r="J50" s="42" t="s">
        <v>18</v>
      </c>
      <c r="K50" s="42" t="s">
        <v>101</v>
      </c>
      <c r="L50" s="38"/>
      <c r="M50" s="38"/>
      <c r="N50" s="38"/>
      <c r="O50" s="38"/>
      <c r="P50" s="38"/>
      <c r="Q50" s="38"/>
      <c r="R50" s="38"/>
      <c r="S50" s="38"/>
      <c r="T50" s="38"/>
      <c r="U50" s="38"/>
      <c r="V50" s="38"/>
    </row>
    <row r="51" hidden="1" outlineLevel="1">
      <c r="A51" s="38"/>
      <c r="B51" s="40"/>
      <c r="C51" s="33" t="s">
        <v>102</v>
      </c>
      <c r="D51" s="41"/>
      <c r="E51" s="42" t="s">
        <v>18</v>
      </c>
      <c r="F51" s="42" t="s">
        <v>18</v>
      </c>
      <c r="G51" s="42" t="s">
        <v>18</v>
      </c>
      <c r="H51" s="42" t="s">
        <v>18</v>
      </c>
      <c r="I51" s="42" t="s">
        <v>18</v>
      </c>
      <c r="J51" s="42" t="s">
        <v>18</v>
      </c>
      <c r="K51" s="42" t="s">
        <v>101</v>
      </c>
      <c r="L51" s="38"/>
      <c r="M51" s="38"/>
      <c r="N51" s="38"/>
      <c r="O51" s="38"/>
      <c r="P51" s="38"/>
      <c r="Q51" s="38"/>
      <c r="R51" s="38"/>
      <c r="S51" s="38"/>
      <c r="T51" s="38"/>
      <c r="U51" s="38"/>
      <c r="V51" s="38"/>
    </row>
    <row r="52">
      <c r="A52" s="38"/>
      <c r="B52" s="40"/>
      <c r="C52" s="40"/>
      <c r="D52" s="41"/>
      <c r="E52" s="38"/>
      <c r="F52" s="38"/>
      <c r="G52" s="38"/>
      <c r="H52" s="38"/>
      <c r="I52" s="38"/>
      <c r="J52" s="38"/>
      <c r="K52" s="38"/>
      <c r="L52" s="38"/>
      <c r="M52" s="38"/>
      <c r="N52" s="38"/>
      <c r="O52" s="38"/>
      <c r="P52" s="38"/>
      <c r="Q52" s="38"/>
      <c r="R52" s="38"/>
      <c r="S52" s="38"/>
      <c r="T52" s="38"/>
      <c r="U52" s="38"/>
      <c r="V52" s="38"/>
    </row>
    <row r="53">
      <c r="B53" s="50" t="s">
        <v>103</v>
      </c>
      <c r="C53" s="50"/>
      <c r="D53" s="51"/>
      <c r="E53" s="52"/>
      <c r="F53" s="52"/>
      <c r="G53" s="52"/>
      <c r="H53" s="52"/>
      <c r="I53" s="52"/>
      <c r="J53" s="52"/>
      <c r="K53" s="52"/>
      <c r="L53" s="52"/>
      <c r="M53" s="52"/>
      <c r="N53" s="52"/>
      <c r="O53" s="52"/>
      <c r="P53" s="52"/>
      <c r="Q53" s="52"/>
    </row>
    <row r="54">
      <c r="A54" s="38"/>
      <c r="B54" s="39" t="s">
        <v>104</v>
      </c>
      <c r="C54" s="40"/>
      <c r="D54" s="43" t="s">
        <v>105</v>
      </c>
      <c r="E54" s="42" t="s">
        <v>18</v>
      </c>
      <c r="F54" s="42" t="s">
        <v>19</v>
      </c>
      <c r="G54" s="42" t="s">
        <v>19</v>
      </c>
      <c r="H54" s="42" t="s">
        <v>19</v>
      </c>
      <c r="I54" s="42" t="s">
        <v>19</v>
      </c>
      <c r="J54" s="42" t="s">
        <v>19</v>
      </c>
      <c r="K54" s="42" t="s">
        <v>19</v>
      </c>
      <c r="L54" s="38"/>
      <c r="M54" s="38"/>
      <c r="N54" s="38"/>
      <c r="O54" s="38"/>
      <c r="P54" s="38"/>
      <c r="Q54" s="38"/>
      <c r="R54" s="38"/>
      <c r="S54" s="38"/>
      <c r="T54" s="38"/>
      <c r="U54" s="38"/>
      <c r="V54" s="38"/>
    </row>
    <row r="55">
      <c r="A55" s="38"/>
      <c r="B55" s="39" t="s">
        <v>106</v>
      </c>
      <c r="C55" s="40"/>
      <c r="D55" s="41"/>
      <c r="E55" s="42" t="s">
        <v>18</v>
      </c>
      <c r="F55" s="42" t="s">
        <v>18</v>
      </c>
      <c r="G55" s="42" t="s">
        <v>19</v>
      </c>
      <c r="H55" s="42" t="s">
        <v>19</v>
      </c>
      <c r="I55" s="42" t="s">
        <v>19</v>
      </c>
      <c r="J55" s="42" t="s">
        <v>19</v>
      </c>
      <c r="K55" s="42" t="s">
        <v>19</v>
      </c>
      <c r="L55" s="38"/>
      <c r="M55" s="38"/>
      <c r="N55" s="38"/>
      <c r="O55" s="38"/>
      <c r="P55" s="38"/>
      <c r="Q55" s="38"/>
      <c r="R55" s="38"/>
      <c r="S55" s="38"/>
      <c r="T55" s="38"/>
      <c r="U55" s="38"/>
      <c r="V55" s="38"/>
    </row>
    <row r="56">
      <c r="A56" s="38"/>
      <c r="B56" s="39" t="s">
        <v>107</v>
      </c>
      <c r="C56" s="40"/>
      <c r="D56" s="43" t="s">
        <v>108</v>
      </c>
      <c r="E56" s="42" t="s">
        <v>18</v>
      </c>
      <c r="F56" s="42" t="s">
        <v>18</v>
      </c>
      <c r="G56" s="42" t="s">
        <v>18</v>
      </c>
      <c r="H56" s="42" t="s">
        <v>19</v>
      </c>
      <c r="I56" s="42" t="s">
        <v>19</v>
      </c>
      <c r="J56" s="42" t="s">
        <v>19</v>
      </c>
      <c r="K56" s="42" t="s">
        <v>19</v>
      </c>
      <c r="L56" s="38"/>
      <c r="M56" s="38"/>
      <c r="N56" s="38"/>
      <c r="O56" s="38"/>
      <c r="P56" s="38"/>
      <c r="Q56" s="38"/>
      <c r="R56" s="38"/>
      <c r="S56" s="38"/>
      <c r="T56" s="38"/>
      <c r="U56" s="38"/>
      <c r="V56" s="38"/>
    </row>
    <row r="57">
      <c r="A57" s="38"/>
      <c r="B57" s="39"/>
      <c r="C57" s="40"/>
      <c r="D57" s="41"/>
      <c r="E57" s="38"/>
      <c r="F57" s="38"/>
      <c r="G57" s="38"/>
      <c r="H57" s="38"/>
      <c r="I57" s="38"/>
      <c r="J57" s="38"/>
      <c r="K57" s="38"/>
      <c r="L57" s="38"/>
      <c r="M57" s="38"/>
      <c r="N57" s="38"/>
      <c r="O57" s="38"/>
      <c r="P57" s="38"/>
      <c r="Q57" s="38"/>
      <c r="R57" s="38"/>
      <c r="S57" s="38"/>
      <c r="T57" s="38"/>
      <c r="U57" s="38"/>
      <c r="V57" s="38"/>
    </row>
    <row r="58">
      <c r="A58" s="38"/>
      <c r="B58" s="53"/>
      <c r="C58" s="38"/>
      <c r="D58" s="41"/>
      <c r="E58" s="38"/>
      <c r="F58" s="38"/>
      <c r="G58" s="38"/>
      <c r="H58" s="38"/>
      <c r="I58" s="38"/>
      <c r="J58" s="38"/>
      <c r="K58" s="38"/>
      <c r="L58" s="38"/>
      <c r="M58" s="38"/>
      <c r="N58" s="38"/>
      <c r="O58" s="38"/>
      <c r="P58" s="38"/>
      <c r="Q58" s="38"/>
      <c r="R58" s="38"/>
      <c r="S58" s="38"/>
      <c r="T58" s="38"/>
      <c r="U58" s="38"/>
      <c r="V58" s="38"/>
    </row>
    <row r="59">
      <c r="B59" s="54"/>
      <c r="D59" s="1"/>
    </row>
    <row r="60">
      <c r="D60" s="1"/>
    </row>
    <row r="61">
      <c r="C61" s="34"/>
      <c r="D61" s="1"/>
    </row>
    <row r="62">
      <c r="C62" s="34"/>
      <c r="D62" s="1"/>
    </row>
    <row r="63">
      <c r="C63" s="34"/>
      <c r="D63" s="1"/>
    </row>
    <row r="64">
      <c r="C64" s="34"/>
      <c r="D64" s="1"/>
    </row>
    <row r="65">
      <c r="C65" s="34"/>
      <c r="D65" s="1"/>
    </row>
    <row r="66">
      <c r="D66" s="1"/>
    </row>
    <row r="67">
      <c r="D67" s="1"/>
    </row>
    <row r="68">
      <c r="D68" s="1"/>
    </row>
    <row r="69">
      <c r="D69" s="1"/>
    </row>
    <row r="70">
      <c r="D70" s="1"/>
    </row>
    <row r="71">
      <c r="D71" s="1"/>
    </row>
    <row r="72">
      <c r="D72" s="1"/>
    </row>
    <row r="73">
      <c r="D73" s="1"/>
    </row>
    <row r="74">
      <c r="D74" s="1"/>
    </row>
    <row r="75">
      <c r="D75" s="1"/>
    </row>
    <row r="76">
      <c r="D76" s="1"/>
    </row>
    <row r="77">
      <c r="D77" s="1"/>
    </row>
    <row r="78">
      <c r="D78" s="1"/>
    </row>
    <row r="79">
      <c r="D79" s="1"/>
    </row>
    <row r="80">
      <c r="D80" s="1"/>
    </row>
    <row r="81">
      <c r="D81" s="1"/>
    </row>
    <row r="82">
      <c r="D82" s="1"/>
    </row>
    <row r="83">
      <c r="D83" s="1"/>
    </row>
    <row r="84">
      <c r="D84" s="1"/>
    </row>
    <row r="85">
      <c r="D85" s="1"/>
    </row>
    <row r="86">
      <c r="D86" s="1"/>
    </row>
    <row r="87">
      <c r="D87" s="1"/>
    </row>
    <row r="88">
      <c r="D88" s="1"/>
    </row>
    <row r="89">
      <c r="D89" s="1"/>
    </row>
    <row r="90">
      <c r="D90" s="1"/>
    </row>
    <row r="91">
      <c r="D91" s="1"/>
    </row>
    <row r="92">
      <c r="D92" s="1"/>
    </row>
    <row r="93">
      <c r="D93" s="1"/>
    </row>
    <row r="94">
      <c r="D94" s="1"/>
    </row>
    <row r="95">
      <c r="D95" s="1"/>
    </row>
    <row r="96">
      <c r="D96" s="1"/>
    </row>
    <row r="97">
      <c r="D97" s="1"/>
    </row>
    <row r="98">
      <c r="D98" s="1"/>
    </row>
    <row r="99">
      <c r="D99" s="1"/>
    </row>
    <row r="100">
      <c r="D100" s="1"/>
    </row>
    <row r="101">
      <c r="D101" s="1"/>
    </row>
    <row r="102">
      <c r="D102" s="1"/>
    </row>
    <row r="103">
      <c r="D103" s="1"/>
    </row>
    <row r="104">
      <c r="D104" s="1"/>
    </row>
    <row r="105">
      <c r="D105" s="1"/>
    </row>
    <row r="106">
      <c r="D106" s="1"/>
    </row>
    <row r="107">
      <c r="D107" s="1"/>
    </row>
    <row r="108">
      <c r="D108" s="1"/>
    </row>
    <row r="109">
      <c r="D109" s="1"/>
    </row>
    <row r="110">
      <c r="D110" s="1"/>
    </row>
    <row r="111">
      <c r="D111" s="1"/>
    </row>
    <row r="112">
      <c r="D112" s="1"/>
    </row>
    <row r="113">
      <c r="D113" s="1"/>
    </row>
    <row r="114">
      <c r="D114" s="1"/>
    </row>
    <row r="115">
      <c r="D115" s="1"/>
    </row>
    <row r="116">
      <c r="D116" s="1"/>
    </row>
    <row r="117">
      <c r="D117" s="1"/>
    </row>
    <row r="118">
      <c r="D118" s="1"/>
    </row>
    <row r="119">
      <c r="D119" s="1"/>
    </row>
    <row r="120">
      <c r="D120" s="1"/>
    </row>
    <row r="121">
      <c r="D121" s="1"/>
    </row>
    <row r="122">
      <c r="D122" s="1"/>
    </row>
    <row r="123">
      <c r="D123" s="1"/>
    </row>
    <row r="124">
      <c r="D124" s="1"/>
    </row>
    <row r="125">
      <c r="D125" s="1"/>
    </row>
    <row r="126">
      <c r="D126" s="1"/>
    </row>
    <row r="127">
      <c r="D127" s="1"/>
    </row>
    <row r="128">
      <c r="D128" s="1"/>
    </row>
    <row r="129">
      <c r="D129" s="1"/>
    </row>
    <row r="130">
      <c r="D130" s="1"/>
    </row>
    <row r="131">
      <c r="D131" s="1"/>
    </row>
    <row r="132">
      <c r="D132" s="1"/>
    </row>
    <row r="133">
      <c r="D133" s="1"/>
    </row>
    <row r="134">
      <c r="D134" s="1"/>
    </row>
    <row r="135">
      <c r="D135" s="1"/>
    </row>
    <row r="136">
      <c r="D136" s="1"/>
    </row>
    <row r="137">
      <c r="D137" s="1"/>
    </row>
    <row r="138">
      <c r="D138" s="1"/>
    </row>
    <row r="139">
      <c r="D139" s="1"/>
    </row>
    <row r="140">
      <c r="D140" s="1"/>
    </row>
    <row r="141">
      <c r="D141" s="1"/>
    </row>
    <row r="142">
      <c r="D142" s="1"/>
    </row>
    <row r="143">
      <c r="D143" s="1"/>
    </row>
    <row r="144">
      <c r="D144" s="1"/>
    </row>
    <row r="145">
      <c r="D145" s="1"/>
    </row>
    <row r="146">
      <c r="D146" s="1"/>
    </row>
    <row r="147">
      <c r="D147" s="1"/>
    </row>
    <row r="148">
      <c r="D148" s="1"/>
    </row>
    <row r="149">
      <c r="D149" s="1"/>
    </row>
    <row r="150">
      <c r="D150" s="1"/>
    </row>
    <row r="151">
      <c r="D151" s="1"/>
    </row>
    <row r="152">
      <c r="D152" s="1"/>
    </row>
    <row r="153">
      <c r="D153" s="1"/>
    </row>
    <row r="154">
      <c r="D154" s="1"/>
    </row>
    <row r="155">
      <c r="D155" s="1"/>
    </row>
    <row r="156">
      <c r="D156" s="1"/>
    </row>
    <row r="157">
      <c r="D157" s="1"/>
    </row>
    <row r="158">
      <c r="D158" s="1"/>
    </row>
    <row r="159">
      <c r="D159" s="1"/>
    </row>
    <row r="160">
      <c r="D160" s="1"/>
    </row>
    <row r="161">
      <c r="D161" s="1"/>
    </row>
    <row r="162">
      <c r="D162" s="1"/>
    </row>
    <row r="163">
      <c r="D163" s="1"/>
    </row>
    <row r="164">
      <c r="D164" s="1"/>
    </row>
    <row r="165">
      <c r="D165" s="1"/>
    </row>
    <row r="166">
      <c r="D166" s="1"/>
    </row>
    <row r="167">
      <c r="D167" s="1"/>
    </row>
    <row r="168">
      <c r="D168" s="1"/>
    </row>
    <row r="169">
      <c r="D169" s="1"/>
    </row>
    <row r="170">
      <c r="D170" s="1"/>
    </row>
    <row r="171">
      <c r="D171" s="1"/>
    </row>
    <row r="172">
      <c r="D172" s="1"/>
    </row>
    <row r="173">
      <c r="D173" s="1"/>
    </row>
    <row r="174">
      <c r="D174" s="1"/>
    </row>
    <row r="175">
      <c r="D175" s="1"/>
    </row>
    <row r="176">
      <c r="D176" s="1"/>
    </row>
    <row r="177">
      <c r="D177" s="1"/>
    </row>
    <row r="178">
      <c r="D178" s="1"/>
    </row>
    <row r="179">
      <c r="D179" s="1"/>
    </row>
    <row r="180">
      <c r="D180" s="1"/>
    </row>
    <row r="181">
      <c r="D181" s="1"/>
    </row>
    <row r="182">
      <c r="D182" s="1"/>
    </row>
    <row r="183">
      <c r="D183" s="1"/>
    </row>
    <row r="184">
      <c r="D184" s="1"/>
    </row>
    <row r="185">
      <c r="D185" s="1"/>
    </row>
    <row r="186">
      <c r="D186" s="1"/>
    </row>
    <row r="187">
      <c r="D187" s="1"/>
    </row>
    <row r="188">
      <c r="D188" s="1"/>
    </row>
    <row r="189">
      <c r="D189" s="1"/>
    </row>
    <row r="190">
      <c r="D190" s="1"/>
    </row>
    <row r="191">
      <c r="D191" s="1"/>
    </row>
    <row r="192">
      <c r="D192" s="1"/>
    </row>
    <row r="193">
      <c r="D193" s="1"/>
    </row>
    <row r="194">
      <c r="D194" s="1"/>
    </row>
    <row r="195">
      <c r="D195" s="1"/>
    </row>
    <row r="196">
      <c r="D196" s="1"/>
    </row>
    <row r="197">
      <c r="D197" s="1"/>
    </row>
    <row r="198">
      <c r="D198" s="1"/>
    </row>
    <row r="199">
      <c r="D199" s="1"/>
    </row>
    <row r="200">
      <c r="D200" s="1"/>
    </row>
    <row r="201">
      <c r="D201" s="1"/>
    </row>
    <row r="202">
      <c r="D202" s="1"/>
    </row>
    <row r="203">
      <c r="D203" s="1"/>
    </row>
    <row r="204">
      <c r="D204" s="1"/>
    </row>
    <row r="205">
      <c r="D205" s="1"/>
    </row>
    <row r="206">
      <c r="D206" s="1"/>
    </row>
    <row r="207">
      <c r="D207" s="1"/>
    </row>
    <row r="208">
      <c r="D208" s="1"/>
    </row>
    <row r="209">
      <c r="D209" s="1"/>
    </row>
    <row r="210">
      <c r="D210" s="1"/>
    </row>
    <row r="211">
      <c r="D211" s="1"/>
    </row>
    <row r="212">
      <c r="D212" s="1"/>
    </row>
    <row r="213">
      <c r="D213" s="1"/>
    </row>
    <row r="214">
      <c r="D214" s="1"/>
    </row>
    <row r="215">
      <c r="D215" s="1"/>
    </row>
    <row r="216">
      <c r="D216" s="1"/>
    </row>
    <row r="217">
      <c r="D217" s="1"/>
    </row>
    <row r="218">
      <c r="D218" s="1"/>
    </row>
    <row r="219">
      <c r="D219" s="1"/>
    </row>
    <row r="220">
      <c r="D220" s="1"/>
    </row>
    <row r="221">
      <c r="D221" s="1"/>
    </row>
    <row r="222">
      <c r="D222" s="1"/>
    </row>
    <row r="223">
      <c r="D223" s="1"/>
    </row>
    <row r="224">
      <c r="D224" s="1"/>
    </row>
    <row r="225">
      <c r="D225" s="1"/>
    </row>
    <row r="226">
      <c r="D226" s="1"/>
    </row>
    <row r="227">
      <c r="D227" s="1"/>
    </row>
    <row r="228">
      <c r="D228" s="1"/>
    </row>
    <row r="229">
      <c r="D229" s="1"/>
    </row>
    <row r="230">
      <c r="D230" s="1"/>
    </row>
    <row r="231">
      <c r="D231" s="1"/>
    </row>
    <row r="232">
      <c r="D232" s="1"/>
    </row>
    <row r="233">
      <c r="D233" s="1"/>
    </row>
    <row r="234">
      <c r="D234" s="1"/>
    </row>
    <row r="235">
      <c r="D235" s="1"/>
    </row>
    <row r="236">
      <c r="D236" s="1"/>
    </row>
    <row r="237">
      <c r="D237" s="1"/>
    </row>
    <row r="238">
      <c r="D238" s="1"/>
    </row>
    <row r="239">
      <c r="D239" s="1"/>
    </row>
    <row r="240">
      <c r="D240" s="1"/>
    </row>
    <row r="241">
      <c r="D241" s="1"/>
    </row>
    <row r="242">
      <c r="D242" s="1"/>
    </row>
    <row r="243">
      <c r="D243" s="1"/>
    </row>
    <row r="244">
      <c r="D244" s="1"/>
    </row>
    <row r="245">
      <c r="D245" s="1"/>
    </row>
    <row r="246">
      <c r="D246" s="1"/>
    </row>
    <row r="247">
      <c r="D247" s="1"/>
    </row>
    <row r="248">
      <c r="D248" s="1"/>
    </row>
    <row r="249">
      <c r="D249" s="1"/>
    </row>
    <row r="250">
      <c r="D250" s="1"/>
    </row>
    <row r="251">
      <c r="D251" s="1"/>
    </row>
    <row r="252">
      <c r="D252" s="1"/>
    </row>
    <row r="253">
      <c r="D253" s="1"/>
    </row>
    <row r="254">
      <c r="D254" s="1"/>
    </row>
    <row r="255">
      <c r="D255" s="1"/>
    </row>
    <row r="256">
      <c r="D256" s="1"/>
    </row>
    <row r="257">
      <c r="D257" s="1"/>
    </row>
    <row r="258">
      <c r="D258" s="1"/>
    </row>
    <row r="259">
      <c r="D259" s="1"/>
    </row>
    <row r="260">
      <c r="D260" s="1"/>
    </row>
    <row r="261">
      <c r="D261" s="1"/>
    </row>
    <row r="262">
      <c r="D262" s="1"/>
    </row>
    <row r="263">
      <c r="D263" s="1"/>
    </row>
    <row r="264">
      <c r="D264" s="1"/>
    </row>
    <row r="265">
      <c r="D265" s="1"/>
    </row>
    <row r="266">
      <c r="D266" s="1"/>
    </row>
    <row r="267">
      <c r="D267" s="1"/>
    </row>
    <row r="268">
      <c r="D268" s="1"/>
    </row>
    <row r="269">
      <c r="D269" s="1"/>
    </row>
    <row r="270">
      <c r="D270" s="1"/>
    </row>
    <row r="271">
      <c r="D271" s="1"/>
    </row>
    <row r="272">
      <c r="D272" s="1"/>
    </row>
    <row r="273">
      <c r="D273" s="1"/>
    </row>
    <row r="274">
      <c r="D274" s="1"/>
    </row>
    <row r="275">
      <c r="D275" s="1"/>
    </row>
    <row r="276">
      <c r="D276" s="1"/>
    </row>
    <row r="277">
      <c r="D277" s="1"/>
    </row>
    <row r="278">
      <c r="D278" s="1"/>
    </row>
    <row r="279">
      <c r="D279" s="1"/>
    </row>
    <row r="280">
      <c r="D280" s="1"/>
    </row>
    <row r="281">
      <c r="D281" s="1"/>
    </row>
    <row r="282">
      <c r="D282" s="1"/>
    </row>
    <row r="283">
      <c r="D283" s="1"/>
    </row>
    <row r="284">
      <c r="D284" s="1"/>
    </row>
    <row r="285">
      <c r="D285" s="1"/>
    </row>
    <row r="286">
      <c r="D286" s="1"/>
    </row>
    <row r="287">
      <c r="D287" s="1"/>
    </row>
    <row r="288">
      <c r="D288" s="1"/>
    </row>
    <row r="289">
      <c r="D289" s="1"/>
    </row>
    <row r="290">
      <c r="D290" s="1"/>
    </row>
    <row r="291">
      <c r="D291" s="1"/>
    </row>
    <row r="292">
      <c r="D292" s="1"/>
    </row>
    <row r="293">
      <c r="D293" s="1"/>
    </row>
    <row r="294">
      <c r="D294" s="1"/>
    </row>
    <row r="295">
      <c r="D295" s="1"/>
    </row>
    <row r="296">
      <c r="D296" s="1"/>
    </row>
    <row r="297">
      <c r="D297" s="1"/>
    </row>
    <row r="298">
      <c r="D298" s="1"/>
    </row>
    <row r="299">
      <c r="D299" s="1"/>
    </row>
    <row r="300">
      <c r="D300" s="1"/>
    </row>
    <row r="301">
      <c r="D301" s="1"/>
    </row>
    <row r="302">
      <c r="D302" s="1"/>
    </row>
    <row r="303">
      <c r="D303" s="1"/>
    </row>
    <row r="304">
      <c r="D304" s="1"/>
    </row>
    <row r="305">
      <c r="D305" s="1"/>
    </row>
    <row r="306">
      <c r="D306" s="1"/>
    </row>
    <row r="307">
      <c r="D307" s="1"/>
    </row>
    <row r="308">
      <c r="D308" s="1"/>
    </row>
    <row r="309">
      <c r="D309" s="1"/>
    </row>
    <row r="310">
      <c r="D310" s="1"/>
    </row>
    <row r="311">
      <c r="D311" s="1"/>
    </row>
    <row r="312">
      <c r="D312" s="1"/>
    </row>
    <row r="313">
      <c r="D313" s="1"/>
    </row>
    <row r="314">
      <c r="D314" s="1"/>
    </row>
    <row r="315">
      <c r="D315" s="1"/>
    </row>
    <row r="316">
      <c r="D316" s="1"/>
    </row>
    <row r="317">
      <c r="D317" s="1"/>
    </row>
    <row r="318">
      <c r="D318" s="1"/>
    </row>
    <row r="319">
      <c r="D319" s="1"/>
    </row>
    <row r="320">
      <c r="D320" s="1"/>
    </row>
    <row r="321">
      <c r="D321" s="1"/>
    </row>
    <row r="322">
      <c r="D322" s="1"/>
    </row>
    <row r="323">
      <c r="D323" s="1"/>
    </row>
    <row r="324">
      <c r="D324" s="1"/>
    </row>
    <row r="325">
      <c r="D325" s="1"/>
    </row>
    <row r="326">
      <c r="D326" s="1"/>
    </row>
    <row r="327">
      <c r="D327" s="1"/>
    </row>
    <row r="328">
      <c r="D328" s="1"/>
    </row>
    <row r="329">
      <c r="D329" s="1"/>
    </row>
    <row r="330">
      <c r="D330" s="1"/>
    </row>
    <row r="331">
      <c r="D331" s="1"/>
    </row>
    <row r="332">
      <c r="D332" s="1"/>
    </row>
    <row r="333">
      <c r="D333" s="1"/>
    </row>
    <row r="334">
      <c r="D334" s="1"/>
    </row>
    <row r="335">
      <c r="D335" s="1"/>
    </row>
    <row r="336">
      <c r="D336" s="1"/>
    </row>
    <row r="337">
      <c r="D337" s="1"/>
    </row>
    <row r="338">
      <c r="D338" s="1"/>
    </row>
    <row r="339">
      <c r="D339" s="1"/>
    </row>
    <row r="340">
      <c r="D340" s="1"/>
    </row>
    <row r="341">
      <c r="D341" s="1"/>
    </row>
    <row r="342">
      <c r="D342" s="1"/>
    </row>
    <row r="343">
      <c r="D343" s="1"/>
    </row>
    <row r="344">
      <c r="D344" s="1"/>
    </row>
    <row r="345">
      <c r="D345" s="1"/>
    </row>
    <row r="346">
      <c r="D346" s="1"/>
    </row>
    <row r="347">
      <c r="D347" s="1"/>
    </row>
    <row r="348">
      <c r="D348" s="1"/>
    </row>
    <row r="349">
      <c r="D349" s="1"/>
    </row>
    <row r="350">
      <c r="D350" s="1"/>
    </row>
    <row r="351">
      <c r="D351" s="1"/>
    </row>
    <row r="352">
      <c r="D352" s="1"/>
    </row>
    <row r="353">
      <c r="D353" s="1"/>
    </row>
    <row r="354">
      <c r="D354" s="1"/>
    </row>
    <row r="355">
      <c r="D355" s="1"/>
    </row>
    <row r="356">
      <c r="D356" s="1"/>
    </row>
    <row r="357">
      <c r="D357" s="1"/>
    </row>
    <row r="358">
      <c r="D358" s="1"/>
    </row>
    <row r="359">
      <c r="D359" s="1"/>
    </row>
    <row r="360">
      <c r="D360" s="1"/>
    </row>
    <row r="361">
      <c r="D361" s="1"/>
    </row>
    <row r="362">
      <c r="D362" s="1"/>
    </row>
    <row r="363">
      <c r="D363" s="1"/>
    </row>
    <row r="364">
      <c r="D364" s="1"/>
    </row>
    <row r="365">
      <c r="D365" s="1"/>
    </row>
    <row r="366">
      <c r="D366" s="1"/>
    </row>
    <row r="367">
      <c r="D367" s="1"/>
    </row>
    <row r="368">
      <c r="D368" s="1"/>
    </row>
    <row r="369">
      <c r="D369" s="1"/>
    </row>
    <row r="370">
      <c r="D370" s="1"/>
    </row>
    <row r="371">
      <c r="D371" s="1"/>
    </row>
    <row r="372">
      <c r="D372" s="1"/>
    </row>
    <row r="373">
      <c r="D373" s="1"/>
    </row>
    <row r="374">
      <c r="D374" s="1"/>
    </row>
    <row r="375">
      <c r="D375" s="1"/>
    </row>
    <row r="376">
      <c r="D376" s="1"/>
    </row>
    <row r="377">
      <c r="D377" s="1"/>
    </row>
    <row r="378">
      <c r="D378" s="1"/>
    </row>
    <row r="379">
      <c r="D379" s="1"/>
    </row>
    <row r="380">
      <c r="D380" s="1"/>
    </row>
    <row r="381">
      <c r="D381" s="1"/>
    </row>
    <row r="382">
      <c r="D382" s="1"/>
    </row>
    <row r="383">
      <c r="D383" s="1"/>
    </row>
    <row r="384">
      <c r="D384" s="1"/>
    </row>
    <row r="385">
      <c r="D385" s="1"/>
    </row>
    <row r="386">
      <c r="D386" s="1"/>
    </row>
    <row r="387">
      <c r="D387" s="1"/>
    </row>
    <row r="388">
      <c r="D388" s="1"/>
    </row>
    <row r="389">
      <c r="D389" s="1"/>
    </row>
    <row r="390">
      <c r="D390" s="1"/>
    </row>
    <row r="391">
      <c r="D391" s="1"/>
    </row>
    <row r="392">
      <c r="D392" s="1"/>
    </row>
    <row r="393">
      <c r="D393" s="1"/>
    </row>
    <row r="394">
      <c r="D394" s="1"/>
    </row>
    <row r="395">
      <c r="D395" s="1"/>
    </row>
    <row r="396">
      <c r="D396" s="1"/>
    </row>
    <row r="397">
      <c r="D397" s="1"/>
    </row>
    <row r="398">
      <c r="D398" s="1"/>
    </row>
    <row r="399">
      <c r="D399" s="1"/>
    </row>
    <row r="400">
      <c r="D400" s="1"/>
    </row>
    <row r="401">
      <c r="D401" s="1"/>
    </row>
    <row r="402">
      <c r="D402" s="1"/>
    </row>
    <row r="403">
      <c r="D403" s="1"/>
    </row>
    <row r="404">
      <c r="D404" s="1"/>
    </row>
    <row r="405">
      <c r="D405" s="1"/>
    </row>
    <row r="406">
      <c r="D406" s="1"/>
    </row>
    <row r="407">
      <c r="D407" s="1"/>
    </row>
    <row r="408">
      <c r="D408" s="1"/>
    </row>
    <row r="409">
      <c r="D409" s="1"/>
    </row>
    <row r="410">
      <c r="D410" s="1"/>
    </row>
    <row r="411">
      <c r="D411" s="1"/>
    </row>
    <row r="412">
      <c r="D412" s="1"/>
    </row>
    <row r="413">
      <c r="D413" s="1"/>
    </row>
    <row r="414">
      <c r="D414" s="1"/>
    </row>
    <row r="415">
      <c r="D415" s="1"/>
    </row>
    <row r="416">
      <c r="D416" s="1"/>
    </row>
    <row r="417">
      <c r="D417" s="1"/>
    </row>
    <row r="418">
      <c r="D418" s="1"/>
    </row>
    <row r="419">
      <c r="D419" s="1"/>
    </row>
    <row r="420">
      <c r="D420" s="1"/>
    </row>
    <row r="421">
      <c r="D421" s="1"/>
    </row>
    <row r="422">
      <c r="D422" s="1"/>
    </row>
    <row r="423">
      <c r="D423" s="1"/>
    </row>
    <row r="424">
      <c r="D424" s="1"/>
    </row>
    <row r="425">
      <c r="D425" s="1"/>
    </row>
    <row r="426">
      <c r="D426" s="1"/>
    </row>
    <row r="427">
      <c r="D427" s="1"/>
    </row>
    <row r="428">
      <c r="D428" s="1"/>
    </row>
    <row r="429">
      <c r="D429" s="1"/>
    </row>
    <row r="430">
      <c r="D430" s="1"/>
    </row>
    <row r="431">
      <c r="D431" s="1"/>
    </row>
    <row r="432">
      <c r="D432" s="1"/>
    </row>
    <row r="433">
      <c r="D433" s="1"/>
    </row>
    <row r="434">
      <c r="D434" s="1"/>
    </row>
    <row r="435">
      <c r="D435" s="1"/>
    </row>
    <row r="436">
      <c r="D436" s="1"/>
    </row>
    <row r="437">
      <c r="D437" s="1"/>
    </row>
    <row r="438">
      <c r="D438" s="1"/>
    </row>
    <row r="439">
      <c r="D439" s="1"/>
    </row>
    <row r="440">
      <c r="D440" s="1"/>
    </row>
    <row r="441">
      <c r="D441" s="1"/>
    </row>
    <row r="442">
      <c r="D442" s="1"/>
    </row>
    <row r="443">
      <c r="D443" s="1"/>
    </row>
    <row r="444">
      <c r="D444" s="1"/>
    </row>
    <row r="445">
      <c r="D445" s="1"/>
    </row>
    <row r="446">
      <c r="D446" s="1"/>
    </row>
    <row r="447">
      <c r="D447" s="1"/>
    </row>
    <row r="448">
      <c r="D448" s="1"/>
    </row>
    <row r="449">
      <c r="D449" s="1"/>
    </row>
    <row r="450">
      <c r="D450" s="1"/>
    </row>
    <row r="451">
      <c r="D451" s="1"/>
    </row>
    <row r="452">
      <c r="D452" s="1"/>
    </row>
    <row r="453">
      <c r="D453" s="1"/>
    </row>
    <row r="454">
      <c r="D454" s="1"/>
    </row>
    <row r="455">
      <c r="D455" s="1"/>
    </row>
    <row r="456">
      <c r="D456" s="1"/>
    </row>
    <row r="457">
      <c r="D457" s="1"/>
    </row>
    <row r="458">
      <c r="D458" s="1"/>
    </row>
    <row r="459">
      <c r="D459" s="1"/>
    </row>
    <row r="460">
      <c r="D460" s="1"/>
    </row>
    <row r="461">
      <c r="D461" s="1"/>
    </row>
    <row r="462">
      <c r="D462" s="1"/>
    </row>
    <row r="463">
      <c r="D463" s="1"/>
    </row>
    <row r="464">
      <c r="D464" s="1"/>
    </row>
    <row r="465">
      <c r="D465" s="1"/>
    </row>
    <row r="466">
      <c r="D466" s="1"/>
    </row>
    <row r="467">
      <c r="D467" s="1"/>
    </row>
    <row r="468">
      <c r="D468" s="1"/>
    </row>
    <row r="469">
      <c r="D469" s="1"/>
    </row>
    <row r="470">
      <c r="D470" s="1"/>
    </row>
    <row r="471">
      <c r="D471" s="1"/>
    </row>
    <row r="472">
      <c r="D472" s="1"/>
    </row>
    <row r="473">
      <c r="D473" s="1"/>
    </row>
    <row r="474">
      <c r="D474" s="1"/>
    </row>
    <row r="475">
      <c r="D475" s="1"/>
    </row>
    <row r="476">
      <c r="D476" s="1"/>
    </row>
    <row r="477">
      <c r="D477" s="1"/>
    </row>
    <row r="478">
      <c r="D478" s="1"/>
    </row>
    <row r="479">
      <c r="D479" s="1"/>
    </row>
    <row r="480">
      <c r="D480" s="1"/>
    </row>
    <row r="481">
      <c r="D481" s="1"/>
    </row>
    <row r="482">
      <c r="D482" s="1"/>
    </row>
    <row r="483">
      <c r="D483" s="1"/>
    </row>
    <row r="484">
      <c r="D484" s="1"/>
    </row>
    <row r="485">
      <c r="D485" s="1"/>
    </row>
    <row r="486">
      <c r="D486" s="1"/>
    </row>
    <row r="487">
      <c r="D487" s="1"/>
    </row>
    <row r="488">
      <c r="D488" s="1"/>
    </row>
    <row r="489">
      <c r="D489" s="1"/>
    </row>
    <row r="490">
      <c r="D490" s="1"/>
    </row>
    <row r="491">
      <c r="D491" s="1"/>
    </row>
    <row r="492">
      <c r="D492" s="1"/>
    </row>
    <row r="493">
      <c r="D493" s="1"/>
    </row>
    <row r="494">
      <c r="D494" s="1"/>
    </row>
    <row r="495">
      <c r="D495" s="1"/>
    </row>
    <row r="496">
      <c r="D496" s="1"/>
    </row>
    <row r="497">
      <c r="D497" s="1"/>
    </row>
    <row r="498">
      <c r="D498" s="1"/>
    </row>
    <row r="499">
      <c r="D499" s="1"/>
    </row>
    <row r="500">
      <c r="D500" s="1"/>
    </row>
    <row r="501">
      <c r="D501" s="1"/>
    </row>
    <row r="502">
      <c r="D502" s="1"/>
    </row>
    <row r="503">
      <c r="D503" s="1"/>
    </row>
    <row r="504">
      <c r="D504" s="1"/>
    </row>
    <row r="505">
      <c r="D505" s="1"/>
    </row>
    <row r="506">
      <c r="D506" s="1"/>
    </row>
    <row r="507">
      <c r="D507" s="1"/>
    </row>
    <row r="508">
      <c r="D508" s="1"/>
    </row>
    <row r="509">
      <c r="D509" s="1"/>
    </row>
    <row r="510">
      <c r="D510" s="1"/>
    </row>
    <row r="511">
      <c r="D511" s="1"/>
    </row>
    <row r="512">
      <c r="D512" s="1"/>
    </row>
    <row r="513">
      <c r="D513" s="1"/>
    </row>
    <row r="514">
      <c r="D514" s="1"/>
    </row>
    <row r="515">
      <c r="D515" s="1"/>
    </row>
    <row r="516">
      <c r="D516" s="1"/>
    </row>
    <row r="517">
      <c r="D517" s="1"/>
    </row>
    <row r="518">
      <c r="D518" s="1"/>
    </row>
    <row r="519">
      <c r="D519" s="1"/>
    </row>
    <row r="520">
      <c r="D520" s="1"/>
    </row>
    <row r="521">
      <c r="D521" s="1"/>
    </row>
    <row r="522">
      <c r="D522" s="1"/>
    </row>
    <row r="523">
      <c r="D523" s="1"/>
    </row>
    <row r="524">
      <c r="D524" s="1"/>
    </row>
    <row r="525">
      <c r="D525" s="1"/>
    </row>
    <row r="526">
      <c r="D526" s="1"/>
    </row>
    <row r="527">
      <c r="D527" s="1"/>
    </row>
    <row r="528">
      <c r="D528" s="1"/>
    </row>
    <row r="529">
      <c r="D529" s="1"/>
    </row>
    <row r="530">
      <c r="D530" s="1"/>
    </row>
    <row r="531">
      <c r="D531" s="1"/>
    </row>
    <row r="532">
      <c r="D532" s="1"/>
    </row>
    <row r="533">
      <c r="D533" s="1"/>
    </row>
    <row r="534">
      <c r="D534" s="1"/>
    </row>
    <row r="535">
      <c r="D535" s="1"/>
    </row>
    <row r="536">
      <c r="D536" s="1"/>
    </row>
    <row r="537">
      <c r="D537" s="1"/>
    </row>
    <row r="538">
      <c r="D538" s="1"/>
    </row>
    <row r="539">
      <c r="D539" s="1"/>
    </row>
    <row r="540">
      <c r="D540" s="1"/>
    </row>
    <row r="541">
      <c r="D541" s="1"/>
    </row>
    <row r="542">
      <c r="D542" s="1"/>
    </row>
    <row r="543">
      <c r="D543" s="1"/>
    </row>
    <row r="544">
      <c r="D544" s="1"/>
    </row>
    <row r="545">
      <c r="D545" s="1"/>
    </row>
    <row r="546">
      <c r="D546" s="1"/>
    </row>
    <row r="547">
      <c r="D547" s="1"/>
    </row>
    <row r="548">
      <c r="D548" s="1"/>
    </row>
    <row r="549">
      <c r="D549" s="1"/>
    </row>
    <row r="550">
      <c r="D550" s="1"/>
    </row>
    <row r="551">
      <c r="D551" s="1"/>
    </row>
    <row r="552">
      <c r="D552" s="1"/>
    </row>
    <row r="553">
      <c r="D553" s="1"/>
    </row>
    <row r="554">
      <c r="D554" s="1"/>
    </row>
    <row r="555">
      <c r="D555" s="1"/>
    </row>
    <row r="556">
      <c r="D556" s="1"/>
    </row>
    <row r="557">
      <c r="D557" s="1"/>
    </row>
    <row r="558">
      <c r="D558" s="1"/>
    </row>
    <row r="559">
      <c r="D559" s="1"/>
    </row>
    <row r="560">
      <c r="D560" s="1"/>
    </row>
    <row r="561">
      <c r="D561" s="1"/>
    </row>
    <row r="562">
      <c r="D562" s="1"/>
    </row>
    <row r="563">
      <c r="D563" s="1"/>
    </row>
    <row r="564">
      <c r="D564" s="1"/>
    </row>
    <row r="565">
      <c r="D565" s="1"/>
    </row>
    <row r="566">
      <c r="D566" s="1"/>
    </row>
    <row r="567">
      <c r="D567" s="1"/>
    </row>
    <row r="568">
      <c r="D568" s="1"/>
    </row>
    <row r="569">
      <c r="D569" s="1"/>
    </row>
    <row r="570">
      <c r="D570" s="1"/>
    </row>
    <row r="571">
      <c r="D571" s="1"/>
    </row>
    <row r="572">
      <c r="D572" s="1"/>
    </row>
    <row r="573">
      <c r="D573" s="1"/>
    </row>
    <row r="574">
      <c r="D574" s="1"/>
    </row>
    <row r="575">
      <c r="D575" s="1"/>
    </row>
    <row r="576">
      <c r="D576" s="1"/>
    </row>
    <row r="577">
      <c r="D577" s="1"/>
    </row>
    <row r="578">
      <c r="D578" s="1"/>
    </row>
    <row r="579">
      <c r="D579" s="1"/>
    </row>
    <row r="580">
      <c r="D580" s="1"/>
    </row>
    <row r="581">
      <c r="D581" s="1"/>
    </row>
    <row r="582">
      <c r="D582" s="1"/>
    </row>
    <row r="583">
      <c r="D583" s="1"/>
    </row>
    <row r="584">
      <c r="D584" s="1"/>
    </row>
    <row r="585">
      <c r="D585" s="1"/>
    </row>
    <row r="586">
      <c r="D586" s="1"/>
    </row>
    <row r="587">
      <c r="D587" s="1"/>
    </row>
    <row r="588">
      <c r="D588" s="1"/>
    </row>
    <row r="589">
      <c r="D589" s="1"/>
    </row>
    <row r="590">
      <c r="D590" s="1"/>
    </row>
    <row r="591">
      <c r="D591" s="1"/>
    </row>
    <row r="592">
      <c r="D592" s="1"/>
    </row>
    <row r="593">
      <c r="D593" s="1"/>
    </row>
    <row r="594">
      <c r="D594" s="1"/>
    </row>
    <row r="595">
      <c r="D595" s="1"/>
    </row>
    <row r="596">
      <c r="D596" s="1"/>
    </row>
    <row r="597">
      <c r="D597" s="1"/>
    </row>
    <row r="598">
      <c r="D598" s="1"/>
    </row>
    <row r="599">
      <c r="D599" s="1"/>
    </row>
    <row r="600">
      <c r="D600" s="1"/>
    </row>
    <row r="601">
      <c r="D601" s="1"/>
    </row>
    <row r="602">
      <c r="D602" s="1"/>
    </row>
    <row r="603">
      <c r="D603" s="1"/>
    </row>
    <row r="604">
      <c r="D604" s="1"/>
    </row>
    <row r="605">
      <c r="D605" s="1"/>
    </row>
    <row r="606">
      <c r="D606" s="1"/>
    </row>
    <row r="607">
      <c r="D607" s="1"/>
    </row>
    <row r="608">
      <c r="D608" s="1"/>
    </row>
    <row r="609">
      <c r="D609" s="1"/>
    </row>
    <row r="610">
      <c r="D610" s="1"/>
    </row>
    <row r="611">
      <c r="D611" s="1"/>
    </row>
    <row r="612">
      <c r="D612" s="1"/>
    </row>
    <row r="613">
      <c r="D613" s="1"/>
    </row>
    <row r="614">
      <c r="D614" s="1"/>
    </row>
    <row r="615">
      <c r="D615" s="1"/>
    </row>
    <row r="616">
      <c r="D616" s="1"/>
    </row>
    <row r="617">
      <c r="D617" s="1"/>
    </row>
    <row r="618">
      <c r="D618" s="1"/>
    </row>
    <row r="619">
      <c r="D619" s="1"/>
    </row>
    <row r="620">
      <c r="D620" s="1"/>
    </row>
    <row r="621">
      <c r="D621" s="1"/>
    </row>
    <row r="622">
      <c r="D622" s="1"/>
    </row>
    <row r="623">
      <c r="D623" s="1"/>
    </row>
    <row r="624">
      <c r="D624" s="1"/>
    </row>
    <row r="625">
      <c r="D625" s="1"/>
    </row>
    <row r="626">
      <c r="D626" s="1"/>
    </row>
    <row r="627">
      <c r="D627" s="1"/>
    </row>
    <row r="628">
      <c r="D628" s="1"/>
    </row>
    <row r="629">
      <c r="D629" s="1"/>
    </row>
    <row r="630">
      <c r="D630" s="1"/>
    </row>
    <row r="631">
      <c r="D631" s="1"/>
    </row>
    <row r="632">
      <c r="D632" s="1"/>
    </row>
    <row r="633">
      <c r="D633" s="1"/>
    </row>
    <row r="634">
      <c r="D634" s="1"/>
    </row>
    <row r="635">
      <c r="D635" s="1"/>
    </row>
    <row r="636">
      <c r="D636" s="1"/>
    </row>
    <row r="637">
      <c r="D637" s="1"/>
    </row>
    <row r="638">
      <c r="D638" s="1"/>
    </row>
    <row r="639">
      <c r="D639" s="1"/>
    </row>
    <row r="640">
      <c r="D640" s="1"/>
    </row>
    <row r="641">
      <c r="D641" s="1"/>
    </row>
    <row r="642">
      <c r="D642" s="1"/>
    </row>
    <row r="643">
      <c r="D643" s="1"/>
    </row>
    <row r="644">
      <c r="D644" s="1"/>
    </row>
    <row r="645">
      <c r="D645" s="1"/>
    </row>
    <row r="646">
      <c r="D646" s="1"/>
    </row>
    <row r="647">
      <c r="D647" s="1"/>
    </row>
    <row r="648">
      <c r="D648" s="1"/>
    </row>
    <row r="649">
      <c r="D649" s="1"/>
    </row>
    <row r="650">
      <c r="D650" s="1"/>
    </row>
    <row r="651">
      <c r="D651" s="1"/>
    </row>
    <row r="652">
      <c r="D652" s="1"/>
    </row>
    <row r="653">
      <c r="D653" s="1"/>
    </row>
    <row r="654">
      <c r="D654" s="1"/>
    </row>
    <row r="655">
      <c r="D655" s="1"/>
    </row>
    <row r="656">
      <c r="D656" s="1"/>
    </row>
    <row r="657">
      <c r="D657" s="1"/>
    </row>
    <row r="658">
      <c r="D658" s="1"/>
    </row>
    <row r="659">
      <c r="D659" s="1"/>
    </row>
    <row r="660">
      <c r="D660" s="1"/>
    </row>
    <row r="661">
      <c r="D661" s="1"/>
    </row>
    <row r="662">
      <c r="D662" s="1"/>
    </row>
    <row r="663">
      <c r="D663" s="1"/>
    </row>
    <row r="664">
      <c r="D664" s="1"/>
    </row>
    <row r="665">
      <c r="D665" s="1"/>
    </row>
    <row r="666">
      <c r="D666" s="1"/>
    </row>
    <row r="667">
      <c r="D667" s="1"/>
    </row>
    <row r="668">
      <c r="D668" s="1"/>
    </row>
    <row r="669">
      <c r="D669" s="1"/>
    </row>
    <row r="670">
      <c r="D670" s="1"/>
    </row>
    <row r="671">
      <c r="D671" s="1"/>
    </row>
    <row r="672">
      <c r="D672" s="1"/>
    </row>
    <row r="673">
      <c r="D673" s="1"/>
    </row>
    <row r="674">
      <c r="D674" s="1"/>
    </row>
    <row r="675">
      <c r="D675" s="1"/>
    </row>
    <row r="676">
      <c r="D676" s="1"/>
    </row>
    <row r="677">
      <c r="D677" s="1"/>
    </row>
    <row r="678">
      <c r="D678" s="1"/>
    </row>
    <row r="679">
      <c r="D679" s="1"/>
    </row>
    <row r="680">
      <c r="D680" s="1"/>
    </row>
    <row r="681">
      <c r="D681" s="1"/>
    </row>
    <row r="682">
      <c r="D682" s="1"/>
    </row>
    <row r="683">
      <c r="D683" s="1"/>
    </row>
    <row r="684">
      <c r="D684" s="1"/>
    </row>
    <row r="685">
      <c r="D685" s="1"/>
    </row>
    <row r="686">
      <c r="D686" s="1"/>
    </row>
    <row r="687">
      <c r="D687" s="1"/>
    </row>
    <row r="688">
      <c r="D688" s="1"/>
    </row>
    <row r="689">
      <c r="D689" s="1"/>
    </row>
    <row r="690">
      <c r="D690" s="1"/>
    </row>
    <row r="691">
      <c r="D691" s="1"/>
    </row>
    <row r="692">
      <c r="D692" s="1"/>
    </row>
    <row r="693">
      <c r="D693" s="1"/>
    </row>
    <row r="694">
      <c r="D694" s="1"/>
    </row>
    <row r="695">
      <c r="D695" s="1"/>
    </row>
    <row r="696">
      <c r="D696" s="1"/>
    </row>
    <row r="697">
      <c r="D697" s="1"/>
    </row>
    <row r="698">
      <c r="D698" s="1"/>
    </row>
    <row r="699">
      <c r="D699" s="1"/>
    </row>
    <row r="700">
      <c r="D700" s="1"/>
    </row>
    <row r="701">
      <c r="D701" s="1"/>
    </row>
    <row r="702">
      <c r="D702" s="1"/>
    </row>
    <row r="703">
      <c r="D703" s="1"/>
    </row>
    <row r="704">
      <c r="D704" s="1"/>
    </row>
    <row r="705">
      <c r="D705" s="1"/>
    </row>
    <row r="706">
      <c r="D706" s="1"/>
    </row>
    <row r="707">
      <c r="D707" s="1"/>
    </row>
    <row r="708">
      <c r="D708" s="1"/>
    </row>
    <row r="709">
      <c r="D709" s="1"/>
    </row>
    <row r="710">
      <c r="D710" s="1"/>
    </row>
    <row r="711">
      <c r="D711" s="1"/>
    </row>
    <row r="712">
      <c r="D712" s="1"/>
    </row>
    <row r="713">
      <c r="D713" s="1"/>
    </row>
    <row r="714">
      <c r="D714" s="1"/>
    </row>
    <row r="715">
      <c r="D715" s="1"/>
    </row>
    <row r="716">
      <c r="D716" s="1"/>
    </row>
    <row r="717">
      <c r="D717" s="1"/>
    </row>
    <row r="718">
      <c r="D718" s="1"/>
    </row>
    <row r="719">
      <c r="D719" s="1"/>
    </row>
    <row r="720">
      <c r="D720" s="1"/>
    </row>
    <row r="721">
      <c r="D721" s="1"/>
    </row>
    <row r="722">
      <c r="D722" s="1"/>
    </row>
    <row r="723">
      <c r="D723" s="1"/>
    </row>
    <row r="724">
      <c r="D724" s="1"/>
    </row>
    <row r="725">
      <c r="D725" s="1"/>
    </row>
    <row r="726">
      <c r="D726" s="1"/>
    </row>
    <row r="727">
      <c r="D727" s="1"/>
    </row>
    <row r="728">
      <c r="D728" s="1"/>
    </row>
    <row r="729">
      <c r="D729" s="1"/>
    </row>
    <row r="730">
      <c r="D730" s="1"/>
    </row>
    <row r="731">
      <c r="D731" s="1"/>
    </row>
    <row r="732">
      <c r="D732" s="1"/>
    </row>
    <row r="733">
      <c r="D733" s="1"/>
    </row>
    <row r="734">
      <c r="D734" s="1"/>
    </row>
    <row r="735">
      <c r="D735" s="1"/>
    </row>
    <row r="736">
      <c r="D736" s="1"/>
    </row>
    <row r="737">
      <c r="D737" s="1"/>
    </row>
    <row r="738">
      <c r="D738" s="1"/>
    </row>
    <row r="739">
      <c r="D739" s="1"/>
    </row>
    <row r="740">
      <c r="D740" s="1"/>
    </row>
    <row r="741">
      <c r="D741" s="1"/>
    </row>
    <row r="742">
      <c r="D742" s="1"/>
    </row>
    <row r="743">
      <c r="D743" s="1"/>
    </row>
    <row r="744">
      <c r="D744" s="1"/>
    </row>
    <row r="745">
      <c r="D745" s="1"/>
    </row>
    <row r="746">
      <c r="D746" s="1"/>
    </row>
    <row r="747">
      <c r="D747" s="1"/>
    </row>
    <row r="748">
      <c r="D748" s="1"/>
    </row>
    <row r="749">
      <c r="D749" s="1"/>
    </row>
    <row r="750">
      <c r="D750" s="1"/>
    </row>
    <row r="751">
      <c r="D751" s="1"/>
    </row>
    <row r="752">
      <c r="D752" s="1"/>
    </row>
    <row r="753">
      <c r="D753" s="1"/>
    </row>
    <row r="754">
      <c r="D754" s="1"/>
    </row>
    <row r="755">
      <c r="D755" s="1"/>
    </row>
    <row r="756">
      <c r="D756" s="1"/>
    </row>
    <row r="757">
      <c r="D757" s="1"/>
    </row>
    <row r="758">
      <c r="D758" s="1"/>
    </row>
    <row r="759">
      <c r="D759" s="1"/>
    </row>
    <row r="760">
      <c r="D760" s="1"/>
    </row>
    <row r="761">
      <c r="D761" s="1"/>
    </row>
    <row r="762">
      <c r="D762" s="1"/>
    </row>
    <row r="763">
      <c r="D763" s="1"/>
    </row>
    <row r="764">
      <c r="D764" s="1"/>
    </row>
    <row r="765">
      <c r="D765" s="1"/>
    </row>
    <row r="766">
      <c r="D766" s="1"/>
    </row>
    <row r="767">
      <c r="D767" s="1"/>
    </row>
    <row r="768">
      <c r="D768" s="1"/>
    </row>
    <row r="769">
      <c r="D769" s="1"/>
    </row>
    <row r="770">
      <c r="D770" s="1"/>
    </row>
    <row r="771">
      <c r="D771" s="1"/>
    </row>
    <row r="772">
      <c r="D772" s="1"/>
    </row>
    <row r="773">
      <c r="D773" s="1"/>
    </row>
    <row r="774">
      <c r="D774" s="1"/>
    </row>
    <row r="775">
      <c r="D775" s="1"/>
    </row>
    <row r="776">
      <c r="D776" s="1"/>
    </row>
    <row r="777">
      <c r="D777" s="1"/>
    </row>
    <row r="778">
      <c r="D778" s="1"/>
    </row>
    <row r="779">
      <c r="D779" s="1"/>
    </row>
    <row r="780">
      <c r="D780" s="1"/>
    </row>
    <row r="781">
      <c r="D781" s="1"/>
    </row>
    <row r="782">
      <c r="D782" s="1"/>
    </row>
    <row r="783">
      <c r="D783" s="1"/>
    </row>
    <row r="784">
      <c r="D784" s="1"/>
    </row>
    <row r="785">
      <c r="D785" s="1"/>
    </row>
    <row r="786">
      <c r="D786" s="1"/>
    </row>
    <row r="787">
      <c r="D787" s="1"/>
    </row>
    <row r="788">
      <c r="D788" s="1"/>
    </row>
    <row r="789">
      <c r="D789" s="1"/>
    </row>
    <row r="790">
      <c r="D790" s="1"/>
    </row>
    <row r="791">
      <c r="D791" s="1"/>
    </row>
    <row r="792">
      <c r="D792" s="1"/>
    </row>
    <row r="793">
      <c r="D793" s="1"/>
    </row>
    <row r="794">
      <c r="D794" s="1"/>
    </row>
    <row r="795">
      <c r="D795" s="1"/>
    </row>
    <row r="796">
      <c r="D796" s="1"/>
    </row>
    <row r="797">
      <c r="D797" s="1"/>
    </row>
    <row r="798">
      <c r="D798" s="1"/>
    </row>
    <row r="799">
      <c r="D799" s="1"/>
    </row>
    <row r="800">
      <c r="D800" s="1"/>
    </row>
    <row r="801">
      <c r="D801" s="1"/>
    </row>
    <row r="802">
      <c r="D802" s="1"/>
    </row>
    <row r="803">
      <c r="D803" s="1"/>
    </row>
    <row r="804">
      <c r="D804" s="1"/>
    </row>
    <row r="805">
      <c r="D805" s="1"/>
    </row>
    <row r="806">
      <c r="D806" s="1"/>
    </row>
    <row r="807">
      <c r="D807" s="1"/>
    </row>
    <row r="808">
      <c r="D808" s="1"/>
    </row>
    <row r="809">
      <c r="D809" s="1"/>
    </row>
    <row r="810">
      <c r="D810" s="1"/>
    </row>
    <row r="811">
      <c r="D811" s="1"/>
    </row>
    <row r="812">
      <c r="D812" s="1"/>
    </row>
    <row r="813">
      <c r="D813" s="1"/>
    </row>
    <row r="814">
      <c r="D814" s="1"/>
    </row>
    <row r="815">
      <c r="D815" s="1"/>
    </row>
    <row r="816">
      <c r="D816" s="1"/>
    </row>
    <row r="817">
      <c r="D817" s="1"/>
    </row>
    <row r="818">
      <c r="D818" s="1"/>
    </row>
    <row r="819">
      <c r="D819" s="1"/>
    </row>
    <row r="820">
      <c r="D820" s="1"/>
    </row>
    <row r="821">
      <c r="D821" s="1"/>
    </row>
    <row r="822">
      <c r="D822" s="1"/>
    </row>
    <row r="823">
      <c r="D823" s="1"/>
    </row>
    <row r="824">
      <c r="D824" s="1"/>
    </row>
    <row r="825">
      <c r="D825" s="1"/>
    </row>
    <row r="826">
      <c r="D826" s="1"/>
    </row>
    <row r="827">
      <c r="D827" s="1"/>
    </row>
    <row r="828">
      <c r="D828" s="1"/>
    </row>
    <row r="829">
      <c r="D829" s="1"/>
    </row>
    <row r="830">
      <c r="D830" s="1"/>
    </row>
    <row r="831">
      <c r="D831" s="1"/>
    </row>
    <row r="832">
      <c r="D832" s="1"/>
    </row>
    <row r="833">
      <c r="D833" s="1"/>
    </row>
    <row r="834">
      <c r="D834" s="1"/>
    </row>
    <row r="835">
      <c r="D835" s="1"/>
    </row>
    <row r="836">
      <c r="D836" s="1"/>
    </row>
    <row r="837">
      <c r="D837" s="1"/>
    </row>
    <row r="838">
      <c r="D838" s="1"/>
    </row>
    <row r="839">
      <c r="D839" s="1"/>
    </row>
    <row r="840">
      <c r="D840" s="1"/>
    </row>
    <row r="841">
      <c r="D841" s="1"/>
    </row>
    <row r="842">
      <c r="D842" s="1"/>
    </row>
    <row r="843">
      <c r="D843" s="1"/>
    </row>
    <row r="844">
      <c r="D844" s="1"/>
    </row>
    <row r="845">
      <c r="D845" s="1"/>
    </row>
    <row r="846">
      <c r="D846" s="1"/>
    </row>
    <row r="847">
      <c r="D847" s="1"/>
    </row>
    <row r="848">
      <c r="D848" s="1"/>
    </row>
    <row r="849">
      <c r="D849" s="1"/>
    </row>
    <row r="850">
      <c r="D850" s="1"/>
    </row>
    <row r="851">
      <c r="D851" s="1"/>
    </row>
    <row r="852">
      <c r="D852" s="1"/>
    </row>
    <row r="853">
      <c r="D853" s="1"/>
    </row>
    <row r="854">
      <c r="D854" s="1"/>
    </row>
    <row r="855">
      <c r="D855" s="1"/>
    </row>
    <row r="856">
      <c r="D856" s="1"/>
    </row>
    <row r="857">
      <c r="D857" s="1"/>
    </row>
    <row r="858">
      <c r="D858" s="1"/>
    </row>
    <row r="859">
      <c r="D859" s="1"/>
    </row>
    <row r="860">
      <c r="D860" s="1"/>
    </row>
    <row r="861">
      <c r="D861" s="1"/>
    </row>
    <row r="862">
      <c r="D862" s="1"/>
    </row>
    <row r="863">
      <c r="D863" s="1"/>
    </row>
    <row r="864">
      <c r="D864" s="1"/>
    </row>
    <row r="865">
      <c r="D865" s="1"/>
    </row>
    <row r="866">
      <c r="D866" s="1"/>
    </row>
    <row r="867">
      <c r="D867" s="1"/>
    </row>
    <row r="868">
      <c r="D868" s="1"/>
    </row>
    <row r="869">
      <c r="D869" s="1"/>
    </row>
    <row r="870">
      <c r="D870" s="1"/>
    </row>
    <row r="871">
      <c r="D871" s="1"/>
    </row>
    <row r="872">
      <c r="D872" s="1"/>
    </row>
    <row r="873">
      <c r="D873" s="1"/>
    </row>
    <row r="874">
      <c r="D874" s="1"/>
    </row>
    <row r="875">
      <c r="D875" s="1"/>
    </row>
    <row r="876">
      <c r="D876" s="1"/>
    </row>
    <row r="877">
      <c r="D877" s="1"/>
    </row>
    <row r="878">
      <c r="D878" s="1"/>
    </row>
    <row r="879">
      <c r="D879" s="1"/>
    </row>
    <row r="880">
      <c r="D880" s="1"/>
    </row>
    <row r="881">
      <c r="D881" s="1"/>
    </row>
    <row r="882">
      <c r="D882" s="1"/>
    </row>
    <row r="883">
      <c r="D883" s="1"/>
    </row>
    <row r="884">
      <c r="D884" s="1"/>
    </row>
    <row r="885">
      <c r="D885" s="1"/>
    </row>
    <row r="886">
      <c r="D886" s="1"/>
    </row>
    <row r="887">
      <c r="D887" s="1"/>
    </row>
    <row r="888">
      <c r="D888" s="1"/>
    </row>
    <row r="889">
      <c r="D889" s="1"/>
    </row>
    <row r="890">
      <c r="D890" s="1"/>
    </row>
    <row r="891">
      <c r="D891" s="1"/>
    </row>
    <row r="892">
      <c r="D892" s="1"/>
    </row>
    <row r="893">
      <c r="D893" s="1"/>
    </row>
    <row r="894">
      <c r="D894" s="1"/>
    </row>
    <row r="895">
      <c r="D895" s="1"/>
    </row>
    <row r="896">
      <c r="D896" s="1"/>
    </row>
    <row r="897">
      <c r="D897" s="1"/>
    </row>
    <row r="898">
      <c r="D898" s="1"/>
    </row>
    <row r="899">
      <c r="D899" s="1"/>
    </row>
    <row r="900">
      <c r="D900" s="1"/>
    </row>
    <row r="901">
      <c r="D901" s="1"/>
    </row>
    <row r="902">
      <c r="D902" s="1"/>
    </row>
    <row r="903">
      <c r="D903" s="1"/>
    </row>
    <row r="904">
      <c r="D904" s="1"/>
    </row>
    <row r="905">
      <c r="D905" s="1"/>
    </row>
    <row r="906">
      <c r="D906" s="1"/>
    </row>
    <row r="907">
      <c r="D907" s="1"/>
    </row>
    <row r="908">
      <c r="D908" s="1"/>
    </row>
    <row r="909">
      <c r="D909" s="1"/>
    </row>
    <row r="910">
      <c r="D910" s="1"/>
    </row>
    <row r="911">
      <c r="D911" s="1"/>
    </row>
    <row r="912">
      <c r="D912" s="1"/>
    </row>
    <row r="913">
      <c r="D913" s="1"/>
    </row>
    <row r="914">
      <c r="D914" s="1"/>
    </row>
    <row r="915">
      <c r="D915" s="1"/>
    </row>
    <row r="916">
      <c r="D916" s="1"/>
    </row>
    <row r="917">
      <c r="D917" s="1"/>
    </row>
    <row r="918">
      <c r="D918" s="1"/>
    </row>
    <row r="919">
      <c r="D919" s="1"/>
    </row>
    <row r="920">
      <c r="D920" s="1"/>
    </row>
    <row r="921">
      <c r="D921" s="1"/>
    </row>
    <row r="922">
      <c r="D922" s="1"/>
    </row>
    <row r="923">
      <c r="D923" s="1"/>
    </row>
    <row r="924">
      <c r="D924" s="1"/>
    </row>
    <row r="925">
      <c r="D925" s="1"/>
    </row>
    <row r="926">
      <c r="D926" s="1"/>
    </row>
    <row r="927">
      <c r="D927" s="1"/>
    </row>
    <row r="928">
      <c r="D928" s="1"/>
    </row>
    <row r="929">
      <c r="D929" s="1"/>
    </row>
    <row r="930">
      <c r="D930" s="1"/>
    </row>
    <row r="931">
      <c r="D931" s="1"/>
    </row>
    <row r="932">
      <c r="D932" s="1"/>
    </row>
    <row r="933">
      <c r="D933" s="1"/>
    </row>
    <row r="934">
      <c r="D934" s="1"/>
    </row>
    <row r="935">
      <c r="D935" s="1"/>
    </row>
    <row r="936">
      <c r="D936" s="1"/>
    </row>
    <row r="937">
      <c r="D937" s="1"/>
    </row>
    <row r="938">
      <c r="D938" s="1"/>
    </row>
    <row r="939">
      <c r="D939" s="1"/>
    </row>
    <row r="940">
      <c r="D940" s="1"/>
    </row>
    <row r="941">
      <c r="D941" s="1"/>
    </row>
    <row r="942">
      <c r="D942" s="1"/>
    </row>
    <row r="943">
      <c r="D943" s="1"/>
    </row>
    <row r="944">
      <c r="D944" s="1"/>
    </row>
    <row r="945">
      <c r="D945" s="1"/>
    </row>
    <row r="946">
      <c r="D946" s="1"/>
    </row>
    <row r="947">
      <c r="D947" s="1"/>
    </row>
    <row r="948">
      <c r="D948" s="1"/>
    </row>
    <row r="949">
      <c r="D949" s="1"/>
    </row>
    <row r="950">
      <c r="D950" s="1"/>
    </row>
    <row r="951">
      <c r="D951" s="1"/>
    </row>
    <row r="952">
      <c r="D952" s="1"/>
    </row>
    <row r="953">
      <c r="D953" s="1"/>
    </row>
    <row r="954">
      <c r="D954" s="1"/>
    </row>
    <row r="955">
      <c r="D955" s="1"/>
    </row>
    <row r="956">
      <c r="D956" s="1"/>
    </row>
    <row r="957">
      <c r="D957" s="1"/>
    </row>
    <row r="958">
      <c r="D958" s="1"/>
    </row>
    <row r="959">
      <c r="D959" s="1"/>
    </row>
    <row r="960">
      <c r="D960" s="1"/>
    </row>
    <row r="961">
      <c r="D961" s="1"/>
    </row>
    <row r="962">
      <c r="D962" s="1"/>
    </row>
    <row r="963">
      <c r="D963" s="1"/>
    </row>
    <row r="964">
      <c r="D964" s="1"/>
    </row>
    <row r="965">
      <c r="D965" s="1"/>
    </row>
    <row r="966">
      <c r="D966" s="1"/>
    </row>
    <row r="967">
      <c r="D967" s="1"/>
    </row>
    <row r="968">
      <c r="D968" s="1"/>
    </row>
    <row r="969">
      <c r="D969" s="1"/>
    </row>
    <row r="970">
      <c r="D970" s="1"/>
    </row>
    <row r="971">
      <c r="D971" s="1"/>
    </row>
    <row r="972">
      <c r="D972" s="1"/>
    </row>
    <row r="973">
      <c r="D973" s="1"/>
    </row>
    <row r="974">
      <c r="D974" s="1"/>
    </row>
    <row r="975">
      <c r="D975" s="1"/>
    </row>
    <row r="976">
      <c r="D976" s="1"/>
    </row>
    <row r="977">
      <c r="D977" s="1"/>
    </row>
    <row r="978">
      <c r="D978" s="1"/>
    </row>
    <row r="979">
      <c r="D979" s="1"/>
    </row>
    <row r="980">
      <c r="D980" s="1"/>
    </row>
    <row r="981">
      <c r="D981" s="1"/>
    </row>
    <row r="982">
      <c r="D982" s="1"/>
    </row>
    <row r="983">
      <c r="D983" s="1"/>
    </row>
    <row r="984">
      <c r="D984" s="1"/>
    </row>
    <row r="985">
      <c r="D985" s="1"/>
    </row>
    <row r="986">
      <c r="D986" s="1"/>
    </row>
    <row r="987">
      <c r="D987" s="1"/>
    </row>
    <row r="988">
      <c r="D988" s="1"/>
    </row>
    <row r="989">
      <c r="D989" s="1"/>
    </row>
    <row r="990">
      <c r="D990" s="1"/>
    </row>
    <row r="991">
      <c r="D991" s="1"/>
    </row>
    <row r="992">
      <c r="D992" s="1"/>
    </row>
    <row r="993">
      <c r="D993" s="1"/>
    </row>
    <row r="994">
      <c r="D994" s="1"/>
    </row>
    <row r="995">
      <c r="D995" s="1"/>
    </row>
    <row r="996">
      <c r="D996" s="1"/>
    </row>
    <row r="997">
      <c r="D997" s="1"/>
    </row>
    <row r="998">
      <c r="D998" s="1"/>
    </row>
    <row r="999">
      <c r="D999" s="1"/>
    </row>
    <row r="1000">
      <c r="D1000" s="1"/>
    </row>
    <row r="1001">
      <c r="D1001" s="1"/>
    </row>
    <row r="1002">
      <c r="D1002" s="1"/>
    </row>
    <row r="1003">
      <c r="D1003" s="1"/>
    </row>
    <row r="1004">
      <c r="D1004" s="1"/>
    </row>
    <row r="1005">
      <c r="D1005" s="1"/>
    </row>
    <row r="1006">
      <c r="D1006" s="1"/>
    </row>
    <row r="1007">
      <c r="D1007" s="1"/>
    </row>
    <row r="1008">
      <c r="D1008" s="1"/>
    </row>
    <row r="1009">
      <c r="D1009" s="1"/>
    </row>
    <row r="1010">
      <c r="D1010" s="1"/>
    </row>
    <row r="1011">
      <c r="D1011" s="1"/>
    </row>
    <row r="1012">
      <c r="D1012" s="1"/>
    </row>
    <row r="1013">
      <c r="D1013" s="1"/>
    </row>
    <row r="1014">
      <c r="D1014" s="1"/>
    </row>
    <row r="1015">
      <c r="D1015" s="1"/>
    </row>
    <row r="1016">
      <c r="D1016" s="1"/>
    </row>
    <row r="1017">
      <c r="D1017" s="1"/>
    </row>
  </sheetData>
  <dataValidations>
    <dataValidation type="list" allowBlank="1" showErrorMessage="1" sqref="E14:K14">
      <formula1>"FTA,Customer"</formula1>
    </dataValidation>
    <dataValidation type="list" allowBlank="1" showErrorMessage="1" sqref="E8:K10 E12:K13 E21:K25 E28:K40 E45:K51 E54:K56">
      <formula1>"No,Yes,Partial,TBD"</formula1>
    </dataValidation>
    <dataValidation type="list" allowBlank="1" showErrorMessage="1" sqref="E17:K17">
      <formula1>"Clear / level,Identify voids,Puddle/snow patches &gt; 1m2"</formula1>
    </dataValidation>
    <dataValidation type="list" allowBlank="1" showErrorMessage="1" sqref="E16:K16">
      <formula1>"3-season (above freezing),Year-Round"</formula1>
    </dataValidation>
    <dataValidation type="list" allowBlank="1" showErrorMessage="1" sqref="E18:K18">
      <formula1>"High, &gt; 100 m,Med &gt; 50 m,Low &gt; 10 m"</formula1>
    </dataValidation>
    <dataValidation type="list" allowBlank="1" showErrorMessage="1" sqref="E11:K11">
      <formula1>"Not Req'd,Yes"</formula1>
    </dataValidation>
    <dataValidation type="list" allowBlank="1" showErrorMessage="1" sqref="E19:K19">
      <formula1>"Day, glare,Night &gt; 12 LUX,Night &lt; 12 LUX"</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outlineLevelCol="1" outlineLevelRow="1"/>
  <cols>
    <col customWidth="1" min="1" max="2" width="6.38"/>
    <col customWidth="1" min="3" max="3" width="33.75"/>
    <col customWidth="1" min="4" max="4" width="53.25"/>
    <col customWidth="1" min="5" max="5" width="18.88"/>
    <col collapsed="1" customWidth="1" min="6" max="6" width="18.88"/>
    <col customWidth="1" hidden="1" min="7" max="8" width="18.88" outlineLevel="1"/>
    <col customWidth="1" min="9" max="17" width="18.88"/>
  </cols>
  <sheetData>
    <row r="1">
      <c r="D1" s="1"/>
      <c r="G1" s="55"/>
      <c r="H1" s="55"/>
    </row>
    <row r="2">
      <c r="A2" s="2"/>
      <c r="B2" s="3" t="s">
        <v>0</v>
      </c>
      <c r="C2" s="4"/>
      <c r="E2" s="5" t="s">
        <v>109</v>
      </c>
      <c r="F2" s="5" t="s">
        <v>110</v>
      </c>
      <c r="G2" s="56" t="s">
        <v>111</v>
      </c>
      <c r="H2" s="56" t="s">
        <v>112</v>
      </c>
      <c r="I2" s="5" t="s">
        <v>113</v>
      </c>
      <c r="J2" s="5" t="s">
        <v>114</v>
      </c>
      <c r="K2" s="5"/>
      <c r="L2" s="5" t="s">
        <v>115</v>
      </c>
      <c r="M2" s="5" t="s">
        <v>116</v>
      </c>
      <c r="N2" s="5"/>
      <c r="O2" s="5"/>
      <c r="P2" s="5"/>
      <c r="Q2" s="2"/>
      <c r="R2" s="2"/>
      <c r="S2" s="2"/>
      <c r="T2" s="2"/>
      <c r="U2" s="2"/>
      <c r="V2" s="2"/>
      <c r="W2" s="2"/>
    </row>
    <row r="3">
      <c r="A3" s="6"/>
      <c r="B3" s="7" t="s">
        <v>8</v>
      </c>
      <c r="C3" s="57" t="s">
        <v>117</v>
      </c>
      <c r="D3" s="9"/>
      <c r="E3" s="58" t="s">
        <v>118</v>
      </c>
      <c r="F3" s="58" t="s">
        <v>119</v>
      </c>
      <c r="G3" s="59" t="s">
        <v>120</v>
      </c>
      <c r="H3" s="59" t="s">
        <v>120</v>
      </c>
      <c r="I3" s="58" t="s">
        <v>121</v>
      </c>
      <c r="J3" s="58" t="s">
        <v>122</v>
      </c>
      <c r="K3" s="12"/>
      <c r="L3" s="58" t="s">
        <v>123</v>
      </c>
      <c r="M3" s="58" t="s">
        <v>124</v>
      </c>
      <c r="N3" s="12"/>
      <c r="O3" s="12"/>
      <c r="P3" s="12"/>
      <c r="Q3" s="13"/>
      <c r="R3" s="6"/>
      <c r="S3" s="6"/>
      <c r="T3" s="6"/>
      <c r="U3" s="6"/>
      <c r="V3" s="6"/>
      <c r="W3" s="6"/>
    </row>
    <row r="4">
      <c r="B4" s="14" t="s">
        <v>125</v>
      </c>
      <c r="C4" s="15"/>
      <c r="D4" s="9"/>
      <c r="E4" s="10"/>
      <c r="F4" s="16">
        <v>46023.0</v>
      </c>
      <c r="G4" s="60">
        <v>46023.0</v>
      </c>
      <c r="H4" s="60">
        <v>46082.0</v>
      </c>
      <c r="I4" s="61">
        <v>46174.0</v>
      </c>
      <c r="J4" s="19">
        <v>46266.0</v>
      </c>
      <c r="K4" s="18"/>
      <c r="L4" s="62" t="s">
        <v>126</v>
      </c>
      <c r="M4" s="63" t="s">
        <v>127</v>
      </c>
      <c r="N4" s="18"/>
      <c r="O4" s="18"/>
      <c r="P4" s="18"/>
    </row>
    <row r="5">
      <c r="D5" s="1"/>
      <c r="G5" s="55"/>
      <c r="H5" s="55"/>
    </row>
    <row r="6">
      <c r="B6" s="20" t="s">
        <v>16</v>
      </c>
      <c r="C6" s="20"/>
      <c r="D6" s="21"/>
      <c r="E6" s="22"/>
      <c r="F6" s="22"/>
      <c r="G6" s="64"/>
      <c r="H6" s="64"/>
      <c r="I6" s="22"/>
      <c r="J6" s="22"/>
      <c r="K6" s="22"/>
      <c r="L6" s="22"/>
      <c r="M6" s="22"/>
      <c r="N6" s="22"/>
      <c r="O6" s="22"/>
      <c r="P6" s="22"/>
      <c r="Q6" s="22"/>
      <c r="R6" s="22"/>
    </row>
    <row r="7" ht="22.5" customHeight="1">
      <c r="A7" s="38"/>
      <c r="B7" s="39" t="s">
        <v>106</v>
      </c>
      <c r="C7" s="40"/>
      <c r="D7" s="43" t="s">
        <v>128</v>
      </c>
      <c r="E7" s="42" t="s">
        <v>18</v>
      </c>
      <c r="F7" s="42" t="s">
        <v>18</v>
      </c>
      <c r="G7" s="65" t="s">
        <v>18</v>
      </c>
      <c r="H7" s="65" t="s">
        <v>19</v>
      </c>
      <c r="I7" s="42" t="s">
        <v>19</v>
      </c>
      <c r="J7" s="42" t="s">
        <v>19</v>
      </c>
      <c r="K7" s="38"/>
      <c r="L7" s="42" t="s">
        <v>18</v>
      </c>
      <c r="M7" s="42" t="s">
        <v>19</v>
      </c>
      <c r="N7" s="38"/>
      <c r="O7" s="38"/>
      <c r="P7" s="38"/>
      <c r="Q7" s="38"/>
      <c r="R7" s="38"/>
      <c r="S7" s="38"/>
      <c r="T7" s="38"/>
      <c r="U7" s="38"/>
      <c r="V7" s="38"/>
      <c r="W7" s="38"/>
    </row>
    <row r="8" ht="22.5" customHeight="1" outlineLevel="1">
      <c r="A8" s="38"/>
      <c r="B8" s="39"/>
      <c r="C8" s="66" t="s">
        <v>104</v>
      </c>
      <c r="D8" s="43" t="s">
        <v>105</v>
      </c>
      <c r="E8" s="42" t="s">
        <v>18</v>
      </c>
      <c r="F8" s="42" t="s">
        <v>19</v>
      </c>
      <c r="G8" s="65" t="s">
        <v>19</v>
      </c>
      <c r="H8" s="65" t="s">
        <v>19</v>
      </c>
      <c r="I8" s="42" t="s">
        <v>19</v>
      </c>
      <c r="J8" s="42" t="s">
        <v>19</v>
      </c>
      <c r="K8" s="38"/>
      <c r="L8" s="42" t="s">
        <v>19</v>
      </c>
      <c r="M8" s="42" t="s">
        <v>19</v>
      </c>
      <c r="N8" s="38"/>
      <c r="O8" s="38"/>
      <c r="P8" s="38"/>
      <c r="Q8" s="38"/>
      <c r="R8" s="38"/>
      <c r="S8" s="38"/>
      <c r="T8" s="38"/>
      <c r="U8" s="38"/>
      <c r="V8" s="38"/>
      <c r="W8" s="38"/>
    </row>
    <row r="9" ht="31.5" customHeight="1">
      <c r="A9" s="23"/>
      <c r="B9" s="24" t="s">
        <v>129</v>
      </c>
      <c r="C9" s="25"/>
      <c r="D9" s="28" t="s">
        <v>130</v>
      </c>
      <c r="E9" s="27" t="s">
        <v>18</v>
      </c>
      <c r="F9" s="27" t="s">
        <v>18</v>
      </c>
      <c r="G9" s="67" t="s">
        <v>18</v>
      </c>
      <c r="H9" s="67" t="s">
        <v>19</v>
      </c>
      <c r="I9" s="27" t="s">
        <v>19</v>
      </c>
      <c r="J9" s="27" t="s">
        <v>19</v>
      </c>
      <c r="K9" s="38"/>
      <c r="L9" s="32" t="s">
        <v>131</v>
      </c>
      <c r="M9" s="32" t="s">
        <v>132</v>
      </c>
      <c r="N9" s="23"/>
      <c r="O9" s="23"/>
      <c r="P9" s="23"/>
      <c r="Q9" s="23"/>
      <c r="R9" s="23"/>
      <c r="S9" s="23"/>
      <c r="T9" s="23"/>
      <c r="U9" s="23"/>
      <c r="V9" s="23"/>
      <c r="W9" s="23"/>
    </row>
    <row r="10" ht="29.25" customHeight="1">
      <c r="A10" s="23"/>
      <c r="B10" s="24" t="s">
        <v>133</v>
      </c>
      <c r="C10" s="25"/>
      <c r="D10" s="28" t="s">
        <v>134</v>
      </c>
      <c r="E10" s="27" t="s">
        <v>19</v>
      </c>
      <c r="F10" s="27" t="s">
        <v>19</v>
      </c>
      <c r="G10" s="67" t="s">
        <v>19</v>
      </c>
      <c r="H10" s="67" t="s">
        <v>19</v>
      </c>
      <c r="I10" s="27" t="s">
        <v>19</v>
      </c>
      <c r="J10" s="27" t="s">
        <v>19</v>
      </c>
      <c r="K10" s="38"/>
      <c r="L10" s="27" t="s">
        <v>19</v>
      </c>
      <c r="M10" s="27" t="s">
        <v>19</v>
      </c>
      <c r="N10" s="23"/>
      <c r="O10" s="23"/>
      <c r="P10" s="23"/>
      <c r="Q10" s="23"/>
      <c r="R10" s="23"/>
      <c r="S10" s="23"/>
      <c r="T10" s="23"/>
      <c r="U10" s="23"/>
      <c r="V10" s="23"/>
      <c r="W10" s="23"/>
    </row>
    <row r="11" ht="33.0" customHeight="1">
      <c r="A11" s="23"/>
      <c r="B11" s="24" t="s">
        <v>20</v>
      </c>
      <c r="C11" s="25"/>
      <c r="D11" s="28" t="s">
        <v>135</v>
      </c>
      <c r="E11" s="27" t="s">
        <v>18</v>
      </c>
      <c r="F11" s="27" t="s">
        <v>18</v>
      </c>
      <c r="G11" s="67" t="s">
        <v>18</v>
      </c>
      <c r="H11" s="67" t="s">
        <v>18</v>
      </c>
      <c r="I11" s="27" t="s">
        <v>18</v>
      </c>
      <c r="J11" s="68" t="s">
        <v>19</v>
      </c>
      <c r="K11" s="38"/>
      <c r="L11" s="27" t="s">
        <v>18</v>
      </c>
      <c r="M11" s="27" t="s">
        <v>18</v>
      </c>
      <c r="N11" s="23"/>
      <c r="O11" s="23"/>
      <c r="P11" s="23"/>
      <c r="Q11" s="23"/>
      <c r="R11" s="23"/>
      <c r="S11" s="23"/>
      <c r="T11" s="23"/>
      <c r="U11" s="23"/>
      <c r="V11" s="23"/>
      <c r="W11" s="23"/>
    </row>
    <row r="12" ht="22.5" customHeight="1" outlineLevel="1">
      <c r="A12" s="23"/>
      <c r="B12" s="24"/>
      <c r="C12" s="69" t="s">
        <v>136</v>
      </c>
      <c r="D12" s="28" t="s">
        <v>137</v>
      </c>
      <c r="E12" s="44" t="s">
        <v>84</v>
      </c>
      <c r="F12" s="44" t="s">
        <v>84</v>
      </c>
      <c r="G12" s="70">
        <v>0.8</v>
      </c>
      <c r="H12" s="71">
        <v>0.85</v>
      </c>
      <c r="I12" s="45">
        <v>0.95</v>
      </c>
      <c r="J12" s="44" t="s">
        <v>138</v>
      </c>
      <c r="K12" s="38"/>
      <c r="L12" s="44" t="s">
        <v>84</v>
      </c>
      <c r="M12" s="45">
        <v>0.95</v>
      </c>
      <c r="N12" s="23"/>
      <c r="O12" s="23"/>
      <c r="P12" s="23"/>
      <c r="Q12" s="23"/>
      <c r="R12" s="23"/>
      <c r="S12" s="23"/>
      <c r="T12" s="23"/>
      <c r="U12" s="23"/>
      <c r="V12" s="23"/>
      <c r="W12" s="23"/>
    </row>
    <row r="13" ht="30.0" customHeight="1">
      <c r="A13" s="23"/>
      <c r="B13" s="24" t="s">
        <v>22</v>
      </c>
      <c r="C13" s="25"/>
      <c r="D13" s="28" t="s">
        <v>139</v>
      </c>
      <c r="E13" s="27" t="s">
        <v>19</v>
      </c>
      <c r="F13" s="27" t="s">
        <v>19</v>
      </c>
      <c r="G13" s="67" t="s">
        <v>19</v>
      </c>
      <c r="H13" s="67" t="s">
        <v>19</v>
      </c>
      <c r="I13" s="27" t="s">
        <v>19</v>
      </c>
      <c r="J13" s="27" t="s">
        <v>19</v>
      </c>
      <c r="K13" s="23"/>
      <c r="L13" s="27" t="s">
        <v>19</v>
      </c>
      <c r="M13" s="27" t="s">
        <v>19</v>
      </c>
      <c r="N13" s="23"/>
      <c r="O13" s="23"/>
      <c r="P13" s="23"/>
      <c r="Q13" s="23"/>
      <c r="R13" s="23"/>
      <c r="S13" s="23"/>
      <c r="T13" s="23"/>
      <c r="U13" s="23"/>
      <c r="V13" s="23"/>
      <c r="W13" s="23"/>
    </row>
    <row r="14" ht="22.5" customHeight="1">
      <c r="A14" s="23"/>
      <c r="B14" s="24" t="s">
        <v>24</v>
      </c>
      <c r="C14" s="25"/>
      <c r="D14" s="28" t="s">
        <v>25</v>
      </c>
      <c r="E14" s="27" t="s">
        <v>18</v>
      </c>
      <c r="F14" s="27" t="s">
        <v>19</v>
      </c>
      <c r="G14" s="67" t="s">
        <v>19</v>
      </c>
      <c r="H14" s="67" t="s">
        <v>19</v>
      </c>
      <c r="I14" s="27" t="s">
        <v>19</v>
      </c>
      <c r="J14" s="27" t="s">
        <v>19</v>
      </c>
      <c r="K14" s="23"/>
      <c r="L14" s="27" t="s">
        <v>18</v>
      </c>
      <c r="M14" s="68" t="s">
        <v>19</v>
      </c>
      <c r="N14" s="23"/>
      <c r="O14" s="23"/>
      <c r="P14" s="23"/>
      <c r="Q14" s="23"/>
      <c r="R14" s="23"/>
      <c r="S14" s="23"/>
      <c r="T14" s="23"/>
      <c r="U14" s="23"/>
      <c r="V14" s="23"/>
      <c r="W14" s="23"/>
    </row>
    <row r="15" ht="36.75" customHeight="1">
      <c r="A15" s="23"/>
      <c r="B15" s="24" t="s">
        <v>29</v>
      </c>
      <c r="C15" s="25"/>
      <c r="D15" s="28" t="s">
        <v>140</v>
      </c>
      <c r="E15" s="27" t="s">
        <v>19</v>
      </c>
      <c r="F15" s="27" t="s">
        <v>19</v>
      </c>
      <c r="G15" s="67" t="s">
        <v>19</v>
      </c>
      <c r="H15" s="67" t="s">
        <v>19</v>
      </c>
      <c r="I15" s="27" t="s">
        <v>19</v>
      </c>
      <c r="J15" s="27" t="s">
        <v>19</v>
      </c>
      <c r="K15" s="23"/>
      <c r="L15" s="27" t="s">
        <v>19</v>
      </c>
      <c r="M15" s="27" t="s">
        <v>19</v>
      </c>
      <c r="N15" s="23"/>
      <c r="O15" s="23"/>
      <c r="P15" s="23"/>
      <c r="Q15" s="23"/>
      <c r="R15" s="23"/>
      <c r="S15" s="23"/>
      <c r="T15" s="23"/>
      <c r="U15" s="23"/>
      <c r="V15" s="23"/>
      <c r="W15" s="23"/>
    </row>
    <row r="16" ht="22.5" customHeight="1">
      <c r="A16" s="23"/>
      <c r="B16" s="24" t="s">
        <v>27</v>
      </c>
      <c r="C16" s="25"/>
      <c r="D16" s="28" t="s">
        <v>28</v>
      </c>
      <c r="E16" s="27" t="s">
        <v>19</v>
      </c>
      <c r="F16" s="27" t="s">
        <v>19</v>
      </c>
      <c r="G16" s="67" t="s">
        <v>19</v>
      </c>
      <c r="H16" s="67" t="s">
        <v>19</v>
      </c>
      <c r="I16" s="27" t="s">
        <v>19</v>
      </c>
      <c r="J16" s="27" t="s">
        <v>19</v>
      </c>
      <c r="K16" s="23"/>
      <c r="L16" s="27" t="s">
        <v>19</v>
      </c>
      <c r="M16" s="27" t="s">
        <v>19</v>
      </c>
      <c r="N16" s="23"/>
      <c r="O16" s="23"/>
      <c r="P16" s="23"/>
      <c r="Q16" s="23"/>
      <c r="R16" s="23"/>
      <c r="S16" s="23"/>
      <c r="T16" s="23"/>
      <c r="U16" s="23"/>
      <c r="V16" s="23"/>
      <c r="W16" s="23"/>
    </row>
    <row r="17" ht="22.5" customHeight="1">
      <c r="A17" s="23"/>
      <c r="B17" s="24" t="s">
        <v>141</v>
      </c>
      <c r="C17" s="25"/>
      <c r="D17" s="28" t="s">
        <v>142</v>
      </c>
      <c r="E17" s="27" t="s">
        <v>19</v>
      </c>
      <c r="F17" s="27" t="s">
        <v>19</v>
      </c>
      <c r="G17" s="67" t="s">
        <v>19</v>
      </c>
      <c r="H17" s="67" t="s">
        <v>19</v>
      </c>
      <c r="I17" s="27" t="s">
        <v>19</v>
      </c>
      <c r="J17" s="27" t="s">
        <v>19</v>
      </c>
      <c r="K17" s="23"/>
      <c r="L17" s="27" t="s">
        <v>19</v>
      </c>
      <c r="M17" s="27" t="s">
        <v>19</v>
      </c>
      <c r="N17" s="23"/>
      <c r="O17" s="23"/>
      <c r="P17" s="23"/>
      <c r="Q17" s="23"/>
      <c r="R17" s="23"/>
      <c r="S17" s="23"/>
      <c r="T17" s="23"/>
      <c r="U17" s="23"/>
      <c r="V17" s="23"/>
      <c r="W17" s="23"/>
    </row>
    <row r="18" ht="22.5" customHeight="1">
      <c r="A18" s="23"/>
      <c r="B18" s="24" t="s">
        <v>143</v>
      </c>
      <c r="C18" s="25"/>
      <c r="D18" s="26"/>
      <c r="E18" s="27" t="s">
        <v>19</v>
      </c>
      <c r="F18" s="27" t="s">
        <v>19</v>
      </c>
      <c r="G18" s="67" t="s">
        <v>19</v>
      </c>
      <c r="H18" s="67" t="s">
        <v>19</v>
      </c>
      <c r="I18" s="27" t="s">
        <v>19</v>
      </c>
      <c r="J18" s="27" t="s">
        <v>19</v>
      </c>
      <c r="K18" s="23"/>
      <c r="L18" s="27" t="s">
        <v>19</v>
      </c>
      <c r="M18" s="27" t="s">
        <v>19</v>
      </c>
      <c r="N18" s="23"/>
      <c r="O18" s="23"/>
      <c r="P18" s="23"/>
      <c r="Q18" s="23"/>
      <c r="R18" s="23"/>
      <c r="S18" s="23"/>
      <c r="T18" s="23"/>
      <c r="U18" s="23"/>
      <c r="V18" s="23"/>
      <c r="W18" s="23"/>
    </row>
    <row r="19" ht="22.5" customHeight="1">
      <c r="A19" s="38"/>
      <c r="B19" s="39" t="s">
        <v>144</v>
      </c>
      <c r="C19" s="40"/>
      <c r="D19" s="43" t="s">
        <v>145</v>
      </c>
      <c r="E19" s="27" t="s">
        <v>18</v>
      </c>
      <c r="F19" s="27" t="s">
        <v>18</v>
      </c>
      <c r="G19" s="65" t="s">
        <v>146</v>
      </c>
      <c r="H19" s="65" t="s">
        <v>146</v>
      </c>
      <c r="I19" s="27" t="s">
        <v>19</v>
      </c>
      <c r="J19" s="27" t="s">
        <v>19</v>
      </c>
      <c r="K19" s="38"/>
      <c r="L19" s="42" t="s">
        <v>146</v>
      </c>
      <c r="M19" s="42" t="s">
        <v>146</v>
      </c>
      <c r="N19" s="38"/>
      <c r="O19" s="38"/>
      <c r="P19" s="38"/>
      <c r="Q19" s="38"/>
      <c r="R19" s="38"/>
      <c r="S19" s="38"/>
      <c r="T19" s="38"/>
      <c r="U19" s="38"/>
      <c r="V19" s="38"/>
      <c r="W19" s="38"/>
    </row>
    <row r="20" ht="22.5" customHeight="1" outlineLevel="1">
      <c r="A20" s="38"/>
      <c r="B20" s="39"/>
      <c r="C20" s="33" t="s">
        <v>147</v>
      </c>
      <c r="D20" s="43"/>
      <c r="E20" s="42" t="s">
        <v>146</v>
      </c>
      <c r="F20" s="42" t="s">
        <v>148</v>
      </c>
      <c r="G20" s="65" t="s">
        <v>146</v>
      </c>
      <c r="H20" s="65" t="s">
        <v>146</v>
      </c>
      <c r="I20" s="42" t="s">
        <v>148</v>
      </c>
      <c r="J20" s="42" t="s">
        <v>148</v>
      </c>
      <c r="K20" s="38"/>
      <c r="L20" s="42" t="s">
        <v>146</v>
      </c>
      <c r="M20" s="42" t="s">
        <v>146</v>
      </c>
      <c r="N20" s="38"/>
      <c r="O20" s="38"/>
      <c r="P20" s="38"/>
      <c r="Q20" s="38"/>
      <c r="R20" s="38"/>
      <c r="S20" s="38"/>
      <c r="T20" s="38"/>
      <c r="U20" s="38"/>
      <c r="V20" s="38"/>
      <c r="W20" s="38"/>
    </row>
    <row r="21" ht="22.5" customHeight="1">
      <c r="A21" s="23"/>
      <c r="B21" s="24" t="s">
        <v>149</v>
      </c>
      <c r="C21" s="25"/>
      <c r="D21" s="28" t="s">
        <v>150</v>
      </c>
      <c r="E21" s="27" t="s">
        <v>18</v>
      </c>
      <c r="F21" s="27" t="s">
        <v>18</v>
      </c>
      <c r="G21" s="67" t="s">
        <v>151</v>
      </c>
      <c r="H21" s="67" t="s">
        <v>152</v>
      </c>
      <c r="I21" s="27" t="s">
        <v>19</v>
      </c>
      <c r="J21" s="27" t="s">
        <v>19</v>
      </c>
      <c r="K21" s="23"/>
      <c r="L21" s="27" t="s">
        <v>18</v>
      </c>
      <c r="M21" s="27" t="s">
        <v>19</v>
      </c>
      <c r="N21" s="23"/>
      <c r="O21" s="23"/>
      <c r="P21" s="23"/>
      <c r="Q21" s="23"/>
      <c r="R21" s="23"/>
      <c r="S21" s="23"/>
      <c r="T21" s="23"/>
      <c r="U21" s="23"/>
      <c r="V21" s="23"/>
      <c r="W21" s="23"/>
    </row>
    <row r="22" ht="22.5" customHeight="1" outlineLevel="1">
      <c r="A22" s="23"/>
      <c r="B22" s="24"/>
      <c r="C22" s="25"/>
      <c r="D22" s="26"/>
      <c r="E22" s="27" t="s">
        <v>32</v>
      </c>
      <c r="F22" s="27" t="s">
        <v>153</v>
      </c>
      <c r="G22" s="67" t="s">
        <v>151</v>
      </c>
      <c r="H22" s="67" t="s">
        <v>152</v>
      </c>
      <c r="I22" s="27" t="s">
        <v>154</v>
      </c>
      <c r="J22" s="27" t="s">
        <v>154</v>
      </c>
      <c r="K22" s="23"/>
      <c r="L22" s="27" t="s">
        <v>155</v>
      </c>
      <c r="M22" s="27" t="s">
        <v>154</v>
      </c>
      <c r="N22" s="23"/>
      <c r="O22" s="23"/>
      <c r="P22" s="23"/>
      <c r="Q22" s="23"/>
      <c r="R22" s="23"/>
      <c r="S22" s="23"/>
      <c r="T22" s="23"/>
      <c r="U22" s="23"/>
      <c r="V22" s="23"/>
      <c r="W22" s="23"/>
    </row>
    <row r="23" ht="22.5" customHeight="1">
      <c r="A23" s="23"/>
      <c r="B23" s="24" t="s">
        <v>34</v>
      </c>
      <c r="C23" s="25"/>
      <c r="D23" s="28"/>
      <c r="E23" s="30" t="s">
        <v>156</v>
      </c>
      <c r="F23" s="30" t="s">
        <v>156</v>
      </c>
      <c r="G23" s="30" t="s">
        <v>156</v>
      </c>
      <c r="H23" s="30" t="s">
        <v>156</v>
      </c>
      <c r="I23" s="30" t="s">
        <v>156</v>
      </c>
      <c r="J23" s="30" t="s">
        <v>156</v>
      </c>
      <c r="K23" s="30"/>
      <c r="L23" s="30" t="s">
        <v>156</v>
      </c>
      <c r="M23" s="30" t="s">
        <v>156</v>
      </c>
      <c r="N23" s="23"/>
      <c r="O23" s="23"/>
      <c r="P23" s="23"/>
      <c r="Q23" s="23"/>
      <c r="R23" s="23"/>
      <c r="S23" s="23"/>
      <c r="T23" s="23"/>
      <c r="U23" s="23"/>
      <c r="V23" s="23"/>
      <c r="W23" s="23"/>
    </row>
    <row r="24" ht="22.5" customHeight="1" outlineLevel="1">
      <c r="A24" s="23"/>
      <c r="C24" s="31" t="s">
        <v>157</v>
      </c>
      <c r="D24" s="28" t="s">
        <v>158</v>
      </c>
      <c r="E24" s="32" t="s">
        <v>159</v>
      </c>
      <c r="F24" s="32" t="s">
        <v>159</v>
      </c>
      <c r="G24" s="32" t="s">
        <v>159</v>
      </c>
      <c r="H24" s="32" t="s">
        <v>160</v>
      </c>
      <c r="I24" s="32" t="s">
        <v>160</v>
      </c>
      <c r="J24" s="32" t="s">
        <v>160</v>
      </c>
      <c r="K24" s="23"/>
      <c r="L24" s="32" t="s">
        <v>159</v>
      </c>
      <c r="M24" s="32" t="s">
        <v>160</v>
      </c>
      <c r="N24" s="23"/>
      <c r="O24" s="23"/>
      <c r="P24" s="23"/>
      <c r="Q24" s="23"/>
      <c r="R24" s="23"/>
      <c r="S24" s="23"/>
      <c r="T24" s="23"/>
      <c r="U24" s="23"/>
      <c r="V24" s="23"/>
      <c r="W24" s="23"/>
    </row>
    <row r="25" ht="51.75" customHeight="1" outlineLevel="1">
      <c r="A25" s="23"/>
      <c r="C25" s="31" t="s">
        <v>39</v>
      </c>
      <c r="D25" s="28" t="s">
        <v>161</v>
      </c>
      <c r="E25" s="32" t="s">
        <v>162</v>
      </c>
      <c r="F25" s="32" t="s">
        <v>162</v>
      </c>
      <c r="G25" s="32" t="s">
        <v>162</v>
      </c>
      <c r="H25" s="32" t="s">
        <v>162</v>
      </c>
      <c r="I25" s="32" t="s">
        <v>163</v>
      </c>
      <c r="J25" s="32" t="s">
        <v>163</v>
      </c>
      <c r="K25" s="23"/>
      <c r="L25" s="32" t="s">
        <v>162</v>
      </c>
      <c r="M25" s="32" t="s">
        <v>163</v>
      </c>
      <c r="N25" s="23"/>
      <c r="O25" s="23"/>
      <c r="P25" s="23"/>
      <c r="Q25" s="23"/>
      <c r="R25" s="23"/>
      <c r="S25" s="23"/>
      <c r="T25" s="23"/>
      <c r="U25" s="23"/>
      <c r="V25" s="23"/>
      <c r="W25" s="23"/>
    </row>
    <row r="26" ht="30.75" customHeight="1" outlineLevel="1">
      <c r="A26" s="23"/>
      <c r="C26" s="31" t="s">
        <v>164</v>
      </c>
      <c r="D26" s="28" t="s">
        <v>165</v>
      </c>
      <c r="E26" s="27" t="s">
        <v>43</v>
      </c>
      <c r="F26" s="27" t="s">
        <v>43</v>
      </c>
      <c r="G26" s="27" t="s">
        <v>43</v>
      </c>
      <c r="H26" s="27" t="s">
        <v>44</v>
      </c>
      <c r="I26" s="27" t="s">
        <v>44</v>
      </c>
      <c r="J26" s="27" t="s">
        <v>45</v>
      </c>
      <c r="K26" s="23"/>
      <c r="L26" s="27" t="s">
        <v>43</v>
      </c>
      <c r="M26" s="27" t="s">
        <v>44</v>
      </c>
      <c r="N26" s="23"/>
      <c r="O26" s="23"/>
      <c r="P26" s="23"/>
      <c r="Q26" s="23"/>
      <c r="R26" s="23"/>
      <c r="S26" s="23"/>
      <c r="T26" s="23"/>
      <c r="U26" s="23"/>
      <c r="V26" s="23"/>
      <c r="W26" s="23"/>
    </row>
    <row r="27" ht="22.5" customHeight="1" outlineLevel="1">
      <c r="A27" s="23"/>
      <c r="C27" s="31" t="s">
        <v>46</v>
      </c>
      <c r="D27" s="28" t="s">
        <v>166</v>
      </c>
      <c r="E27" s="27" t="s">
        <v>47</v>
      </c>
      <c r="F27" s="27" t="s">
        <v>47</v>
      </c>
      <c r="G27" s="27" t="s">
        <v>47</v>
      </c>
      <c r="H27" s="27" t="s">
        <v>48</v>
      </c>
      <c r="I27" s="27" t="s">
        <v>48</v>
      </c>
      <c r="J27" s="27" t="s">
        <v>48</v>
      </c>
      <c r="K27" s="23"/>
      <c r="L27" s="27" t="s">
        <v>47</v>
      </c>
      <c r="M27" s="27" t="s">
        <v>48</v>
      </c>
      <c r="N27" s="23"/>
      <c r="O27" s="23"/>
      <c r="P27" s="23"/>
      <c r="Q27" s="23"/>
      <c r="R27" s="23"/>
      <c r="S27" s="23"/>
      <c r="T27" s="23"/>
      <c r="U27" s="23"/>
      <c r="V27" s="23"/>
      <c r="W27" s="23"/>
    </row>
    <row r="28" ht="22.5" customHeight="1">
      <c r="A28" s="23"/>
      <c r="B28" s="24" t="s">
        <v>50</v>
      </c>
      <c r="C28" s="25"/>
      <c r="D28" s="28" t="s">
        <v>167</v>
      </c>
      <c r="E28" s="30" t="s">
        <v>156</v>
      </c>
      <c r="F28" s="30" t="s">
        <v>156</v>
      </c>
      <c r="G28" s="30" t="s">
        <v>156</v>
      </c>
      <c r="H28" s="30" t="s">
        <v>156</v>
      </c>
      <c r="I28" s="30" t="s">
        <v>156</v>
      </c>
      <c r="J28" s="30" t="s">
        <v>156</v>
      </c>
      <c r="K28" s="30"/>
      <c r="L28" s="30" t="s">
        <v>156</v>
      </c>
      <c r="M28" s="30" t="s">
        <v>156</v>
      </c>
      <c r="N28" s="23"/>
      <c r="O28" s="23"/>
      <c r="P28" s="23"/>
      <c r="Q28" s="23"/>
      <c r="R28" s="23"/>
      <c r="S28" s="23"/>
      <c r="T28" s="23"/>
      <c r="U28" s="23"/>
      <c r="V28" s="23"/>
      <c r="W28" s="23"/>
    </row>
    <row r="29" ht="41.25" customHeight="1" outlineLevel="1">
      <c r="A29" s="23"/>
      <c r="B29" s="24"/>
      <c r="C29" s="33" t="s">
        <v>168</v>
      </c>
      <c r="D29" s="28" t="s">
        <v>169</v>
      </c>
      <c r="E29" s="27" t="s">
        <v>18</v>
      </c>
      <c r="F29" s="27" t="s">
        <v>19</v>
      </c>
      <c r="G29" s="67" t="s">
        <v>19</v>
      </c>
      <c r="H29" s="67" t="s">
        <v>19</v>
      </c>
      <c r="I29" s="27" t="s">
        <v>19</v>
      </c>
      <c r="J29" s="27" t="s">
        <v>19</v>
      </c>
      <c r="K29" s="23"/>
      <c r="L29" s="27" t="s">
        <v>18</v>
      </c>
      <c r="M29" s="27" t="s">
        <v>18</v>
      </c>
      <c r="N29" s="23"/>
      <c r="O29" s="23"/>
      <c r="P29" s="23"/>
      <c r="Q29" s="23"/>
      <c r="R29" s="23"/>
      <c r="S29" s="23"/>
      <c r="T29" s="23"/>
      <c r="U29" s="23"/>
      <c r="V29" s="23"/>
      <c r="W29" s="23"/>
    </row>
    <row r="30" ht="22.5" customHeight="1" outlineLevel="1">
      <c r="A30" s="23"/>
      <c r="B30" s="24"/>
      <c r="C30" s="33" t="s">
        <v>170</v>
      </c>
      <c r="D30" s="28" t="s">
        <v>171</v>
      </c>
      <c r="E30" s="27" t="s">
        <v>18</v>
      </c>
      <c r="F30" s="27" t="s">
        <v>18</v>
      </c>
      <c r="G30" s="67" t="s">
        <v>19</v>
      </c>
      <c r="H30" s="67" t="s">
        <v>19</v>
      </c>
      <c r="I30" s="27" t="s">
        <v>19</v>
      </c>
      <c r="J30" s="27" t="s">
        <v>19</v>
      </c>
      <c r="K30" s="23"/>
      <c r="L30" s="27" t="s">
        <v>18</v>
      </c>
      <c r="M30" s="27" t="s">
        <v>18</v>
      </c>
      <c r="N30" s="23"/>
      <c r="O30" s="23"/>
      <c r="P30" s="23"/>
      <c r="Q30" s="23"/>
      <c r="R30" s="23"/>
      <c r="S30" s="23"/>
      <c r="T30" s="23"/>
      <c r="U30" s="23"/>
      <c r="V30" s="23"/>
      <c r="W30" s="23"/>
    </row>
    <row r="31" ht="22.5" customHeight="1" outlineLevel="1">
      <c r="A31" s="23"/>
      <c r="B31" s="24"/>
      <c r="C31" s="33" t="s">
        <v>172</v>
      </c>
      <c r="D31" s="28" t="s">
        <v>173</v>
      </c>
      <c r="E31" s="27" t="s">
        <v>18</v>
      </c>
      <c r="F31" s="27" t="s">
        <v>18</v>
      </c>
      <c r="G31" s="67"/>
      <c r="H31" s="67"/>
      <c r="I31" s="27" t="s">
        <v>18</v>
      </c>
      <c r="J31" s="27" t="s">
        <v>18</v>
      </c>
      <c r="K31" s="23"/>
      <c r="L31" s="27" t="s">
        <v>18</v>
      </c>
      <c r="M31" s="27" t="s">
        <v>18</v>
      </c>
      <c r="N31" s="23"/>
      <c r="O31" s="23"/>
      <c r="P31" s="23"/>
      <c r="Q31" s="23"/>
      <c r="R31" s="23"/>
      <c r="S31" s="23"/>
      <c r="T31" s="23"/>
      <c r="U31" s="23"/>
      <c r="V31" s="23"/>
      <c r="W31" s="23"/>
    </row>
    <row r="32" ht="22.5" customHeight="1" outlineLevel="1">
      <c r="A32" s="23"/>
      <c r="B32" s="24"/>
      <c r="C32" s="33" t="s">
        <v>174</v>
      </c>
      <c r="D32" s="28" t="s">
        <v>175</v>
      </c>
      <c r="E32" s="27" t="s">
        <v>18</v>
      </c>
      <c r="F32" s="27" t="s">
        <v>18</v>
      </c>
      <c r="G32" s="67" t="s">
        <v>19</v>
      </c>
      <c r="H32" s="67" t="s">
        <v>19</v>
      </c>
      <c r="I32" s="27" t="s">
        <v>18</v>
      </c>
      <c r="J32" s="27" t="s">
        <v>18</v>
      </c>
      <c r="K32" s="23"/>
      <c r="L32" s="27" t="s">
        <v>18</v>
      </c>
      <c r="M32" s="27" t="s">
        <v>18</v>
      </c>
      <c r="N32" s="23"/>
      <c r="O32" s="23"/>
      <c r="P32" s="23"/>
      <c r="Q32" s="23"/>
      <c r="R32" s="23"/>
      <c r="S32" s="23"/>
      <c r="T32" s="23"/>
      <c r="U32" s="23"/>
      <c r="V32" s="23"/>
      <c r="W32" s="23"/>
    </row>
    <row r="33" ht="22.5" customHeight="1" outlineLevel="1">
      <c r="A33" s="23"/>
      <c r="B33" s="24"/>
      <c r="C33" s="33" t="s">
        <v>176</v>
      </c>
      <c r="D33" s="28" t="s">
        <v>177</v>
      </c>
      <c r="E33" s="27" t="s">
        <v>18</v>
      </c>
      <c r="F33" s="27" t="s">
        <v>18</v>
      </c>
      <c r="G33" s="67" t="s">
        <v>18</v>
      </c>
      <c r="H33" s="67" t="s">
        <v>18</v>
      </c>
      <c r="I33" s="27" t="s">
        <v>18</v>
      </c>
      <c r="J33" s="27" t="s">
        <v>18</v>
      </c>
      <c r="K33" s="23"/>
      <c r="L33" s="27" t="s">
        <v>18</v>
      </c>
      <c r="M33" s="27" t="s">
        <v>18</v>
      </c>
      <c r="N33" s="23"/>
      <c r="O33" s="23"/>
      <c r="P33" s="23"/>
      <c r="Q33" s="23"/>
      <c r="R33" s="23"/>
      <c r="S33" s="23"/>
      <c r="T33" s="23"/>
      <c r="U33" s="23"/>
      <c r="V33" s="23"/>
      <c r="W33" s="23"/>
    </row>
    <row r="34" ht="22.5" customHeight="1" outlineLevel="1">
      <c r="A34" s="23"/>
      <c r="B34" s="25"/>
      <c r="C34" s="33" t="s">
        <v>178</v>
      </c>
      <c r="D34" s="28" t="s">
        <v>179</v>
      </c>
      <c r="E34" s="27" t="s">
        <v>18</v>
      </c>
      <c r="F34" s="27" t="s">
        <v>18</v>
      </c>
      <c r="G34" s="67" t="s">
        <v>18</v>
      </c>
      <c r="H34" s="67" t="s">
        <v>19</v>
      </c>
      <c r="I34" s="27" t="s">
        <v>18</v>
      </c>
      <c r="J34" s="27" t="s">
        <v>18</v>
      </c>
      <c r="K34" s="23"/>
      <c r="L34" s="68" t="s">
        <v>58</v>
      </c>
      <c r="M34" s="68" t="s">
        <v>58</v>
      </c>
      <c r="N34" s="23"/>
      <c r="O34" s="23"/>
      <c r="P34" s="23"/>
      <c r="Q34" s="23"/>
      <c r="R34" s="23"/>
      <c r="S34" s="23"/>
      <c r="T34" s="23"/>
      <c r="U34" s="23"/>
      <c r="V34" s="23"/>
      <c r="W34" s="23"/>
    </row>
    <row r="35" ht="22.5" customHeight="1" outlineLevel="1">
      <c r="A35" s="23"/>
      <c r="B35" s="25"/>
      <c r="C35" s="33" t="s">
        <v>180</v>
      </c>
      <c r="D35" s="28" t="s">
        <v>181</v>
      </c>
      <c r="E35" s="27" t="s">
        <v>18</v>
      </c>
      <c r="F35" s="27" t="s">
        <v>18</v>
      </c>
      <c r="G35" s="67" t="s">
        <v>18</v>
      </c>
      <c r="H35" s="67" t="s">
        <v>18</v>
      </c>
      <c r="I35" s="27" t="s">
        <v>18</v>
      </c>
      <c r="J35" s="27" t="s">
        <v>18</v>
      </c>
      <c r="K35" s="23"/>
      <c r="L35" s="27" t="s">
        <v>18</v>
      </c>
      <c r="M35" s="27" t="s">
        <v>18</v>
      </c>
      <c r="N35" s="23"/>
      <c r="O35" s="23"/>
      <c r="P35" s="23"/>
      <c r="Q35" s="23"/>
      <c r="R35" s="23"/>
      <c r="S35" s="23"/>
      <c r="T35" s="23"/>
      <c r="U35" s="23"/>
      <c r="V35" s="23"/>
      <c r="W35" s="23"/>
    </row>
    <row r="36" ht="22.5" customHeight="1" outlineLevel="1">
      <c r="A36" s="23"/>
      <c r="B36" s="25"/>
      <c r="C36" s="33" t="s">
        <v>182</v>
      </c>
      <c r="D36" s="28"/>
      <c r="E36" s="27" t="s">
        <v>18</v>
      </c>
      <c r="F36" s="27" t="s">
        <v>18</v>
      </c>
      <c r="G36" s="67" t="s">
        <v>18</v>
      </c>
      <c r="H36" s="67" t="s">
        <v>18</v>
      </c>
      <c r="I36" s="27" t="s">
        <v>18</v>
      </c>
      <c r="J36" s="27" t="s">
        <v>18</v>
      </c>
      <c r="K36" s="23"/>
      <c r="L36" s="27" t="s">
        <v>18</v>
      </c>
      <c r="M36" s="27" t="s">
        <v>18</v>
      </c>
      <c r="N36" s="23"/>
      <c r="O36" s="23"/>
      <c r="P36" s="23"/>
      <c r="Q36" s="23"/>
      <c r="R36" s="23"/>
      <c r="S36" s="23"/>
      <c r="T36" s="23"/>
      <c r="U36" s="23"/>
      <c r="V36" s="23"/>
      <c r="W36" s="23"/>
    </row>
    <row r="37" ht="22.5" customHeight="1">
      <c r="A37" s="23"/>
      <c r="B37" s="25"/>
      <c r="C37" s="34"/>
      <c r="D37" s="26"/>
      <c r="E37" s="23"/>
      <c r="F37" s="23"/>
      <c r="G37" s="72"/>
      <c r="H37" s="72"/>
      <c r="I37" s="23"/>
      <c r="J37" s="23"/>
      <c r="K37" s="23"/>
      <c r="L37" s="23"/>
      <c r="M37" s="23"/>
      <c r="N37" s="23"/>
      <c r="O37" s="23"/>
      <c r="P37" s="23"/>
      <c r="Q37" s="23"/>
      <c r="R37" s="23"/>
      <c r="S37" s="23"/>
      <c r="T37" s="23"/>
      <c r="U37" s="23"/>
      <c r="V37" s="23"/>
      <c r="W37" s="23"/>
    </row>
    <row r="38">
      <c r="B38" s="35" t="s">
        <v>56</v>
      </c>
      <c r="C38" s="35"/>
      <c r="D38" s="36"/>
      <c r="E38" s="37"/>
      <c r="F38" s="37"/>
      <c r="G38" s="64"/>
      <c r="H38" s="64"/>
      <c r="I38" s="37"/>
      <c r="J38" s="37"/>
      <c r="K38" s="37"/>
      <c r="L38" s="37"/>
      <c r="M38" s="37"/>
      <c r="N38" s="37"/>
      <c r="O38" s="37"/>
      <c r="P38" s="37"/>
      <c r="Q38" s="37"/>
      <c r="R38" s="37"/>
    </row>
    <row r="39" ht="22.5" customHeight="1">
      <c r="A39" s="38"/>
      <c r="B39" s="39" t="s">
        <v>57</v>
      </c>
      <c r="C39" s="40"/>
      <c r="D39" s="41"/>
      <c r="E39" s="42" t="s">
        <v>18</v>
      </c>
      <c r="F39" s="42" t="s">
        <v>18</v>
      </c>
      <c r="G39" s="65" t="s">
        <v>18</v>
      </c>
      <c r="H39" s="65" t="s">
        <v>18</v>
      </c>
      <c r="I39" s="42" t="s">
        <v>19</v>
      </c>
      <c r="J39" s="42" t="s">
        <v>19</v>
      </c>
      <c r="K39" s="38"/>
      <c r="L39" s="42" t="s">
        <v>18</v>
      </c>
      <c r="M39" s="73" t="s">
        <v>18</v>
      </c>
      <c r="N39" s="38"/>
      <c r="O39" s="38"/>
      <c r="P39" s="38"/>
      <c r="Q39" s="38"/>
      <c r="R39" s="38"/>
      <c r="S39" s="38"/>
      <c r="T39" s="38"/>
      <c r="U39" s="38"/>
      <c r="V39" s="38"/>
      <c r="W39" s="38"/>
    </row>
    <row r="40" ht="22.5" customHeight="1" outlineLevel="1">
      <c r="A40" s="23"/>
      <c r="C40" s="31" t="s">
        <v>59</v>
      </c>
      <c r="D40" s="28" t="s">
        <v>60</v>
      </c>
      <c r="E40" s="29" t="s">
        <v>58</v>
      </c>
      <c r="F40" s="29" t="s">
        <v>58</v>
      </c>
      <c r="G40" s="67" t="s">
        <v>19</v>
      </c>
      <c r="H40" s="67" t="s">
        <v>19</v>
      </c>
      <c r="I40" s="27" t="s">
        <v>19</v>
      </c>
      <c r="J40" s="27" t="s">
        <v>19</v>
      </c>
      <c r="K40" s="23"/>
      <c r="L40" s="27" t="s">
        <v>58</v>
      </c>
      <c r="M40" s="27" t="s">
        <v>19</v>
      </c>
      <c r="N40" s="23"/>
      <c r="O40" s="23"/>
      <c r="P40" s="23"/>
      <c r="Q40" s="23"/>
      <c r="R40" s="23"/>
      <c r="S40" s="23"/>
      <c r="T40" s="23"/>
      <c r="U40" s="23"/>
      <c r="V40" s="23"/>
      <c r="W40" s="23"/>
    </row>
    <row r="41" ht="22.5" customHeight="1" outlineLevel="1">
      <c r="A41" s="23"/>
      <c r="C41" s="31" t="s">
        <v>61</v>
      </c>
      <c r="D41" s="28" t="s">
        <v>62</v>
      </c>
      <c r="E41" s="27" t="s">
        <v>18</v>
      </c>
      <c r="F41" s="27" t="s">
        <v>18</v>
      </c>
      <c r="G41" s="67" t="s">
        <v>19</v>
      </c>
      <c r="H41" s="67" t="s">
        <v>19</v>
      </c>
      <c r="I41" s="27" t="s">
        <v>19</v>
      </c>
      <c r="J41" s="27" t="s">
        <v>19</v>
      </c>
      <c r="K41" s="23"/>
      <c r="L41" s="27" t="s">
        <v>18</v>
      </c>
      <c r="M41" s="27" t="s">
        <v>19</v>
      </c>
      <c r="N41" s="23"/>
      <c r="O41" s="23"/>
      <c r="P41" s="23"/>
      <c r="Q41" s="23"/>
      <c r="R41" s="23"/>
      <c r="S41" s="23"/>
      <c r="T41" s="23"/>
      <c r="U41" s="23"/>
      <c r="V41" s="23"/>
      <c r="W41" s="23"/>
    </row>
    <row r="42" ht="22.5" customHeight="1" outlineLevel="1">
      <c r="A42" s="23"/>
      <c r="C42" s="31" t="s">
        <v>63</v>
      </c>
      <c r="D42" s="28" t="s">
        <v>64</v>
      </c>
      <c r="E42" s="27" t="s">
        <v>18</v>
      </c>
      <c r="F42" s="27" t="s">
        <v>58</v>
      </c>
      <c r="G42" s="67" t="s">
        <v>19</v>
      </c>
      <c r="H42" s="67" t="s">
        <v>19</v>
      </c>
      <c r="I42" s="27" t="s">
        <v>19</v>
      </c>
      <c r="J42" s="27" t="s">
        <v>19</v>
      </c>
      <c r="K42" s="23"/>
      <c r="L42" s="27" t="s">
        <v>18</v>
      </c>
      <c r="M42" s="27" t="s">
        <v>19</v>
      </c>
      <c r="N42" s="23"/>
      <c r="O42" s="23"/>
      <c r="P42" s="23"/>
      <c r="Q42" s="23"/>
      <c r="R42" s="23"/>
      <c r="S42" s="23"/>
      <c r="T42" s="23"/>
      <c r="U42" s="23"/>
      <c r="V42" s="23"/>
      <c r="W42" s="23"/>
    </row>
    <row r="43" ht="22.5" customHeight="1" outlineLevel="1">
      <c r="A43" s="23"/>
      <c r="C43" s="31" t="s">
        <v>65</v>
      </c>
      <c r="D43" s="28" t="s">
        <v>66</v>
      </c>
      <c r="E43" s="27" t="s">
        <v>18</v>
      </c>
      <c r="F43" s="27" t="s">
        <v>19</v>
      </c>
      <c r="G43" s="67" t="s">
        <v>19</v>
      </c>
      <c r="H43" s="67" t="s">
        <v>19</v>
      </c>
      <c r="I43" s="27" t="s">
        <v>19</v>
      </c>
      <c r="J43" s="27" t="s">
        <v>19</v>
      </c>
      <c r="K43" s="23"/>
      <c r="L43" s="27" t="s">
        <v>18</v>
      </c>
      <c r="M43" s="27" t="s">
        <v>19</v>
      </c>
      <c r="N43" s="23"/>
      <c r="O43" s="23"/>
      <c r="P43" s="23"/>
      <c r="Q43" s="23"/>
      <c r="R43" s="23"/>
      <c r="S43" s="23"/>
      <c r="T43" s="23"/>
      <c r="U43" s="23"/>
      <c r="V43" s="23"/>
      <c r="W43" s="23"/>
    </row>
    <row r="44" ht="22.5" customHeight="1" outlineLevel="1">
      <c r="A44" s="23"/>
      <c r="C44" s="31" t="s">
        <v>67</v>
      </c>
      <c r="D44" s="28" t="s">
        <v>183</v>
      </c>
      <c r="E44" s="27" t="s">
        <v>18</v>
      </c>
      <c r="F44" s="27" t="s">
        <v>19</v>
      </c>
      <c r="G44" s="67" t="s">
        <v>19</v>
      </c>
      <c r="H44" s="67" t="s">
        <v>19</v>
      </c>
      <c r="I44" s="27" t="s">
        <v>19</v>
      </c>
      <c r="J44" s="27" t="s">
        <v>19</v>
      </c>
      <c r="K44" s="23"/>
      <c r="L44" s="27" t="s">
        <v>18</v>
      </c>
      <c r="M44" s="27" t="s">
        <v>19</v>
      </c>
      <c r="N44" s="23"/>
      <c r="O44" s="23"/>
      <c r="P44" s="23"/>
      <c r="Q44" s="23"/>
      <c r="R44" s="23"/>
      <c r="S44" s="23"/>
      <c r="T44" s="23"/>
      <c r="U44" s="23"/>
      <c r="V44" s="23"/>
      <c r="W44" s="23"/>
    </row>
    <row r="45" ht="22.5" customHeight="1">
      <c r="A45" s="38"/>
      <c r="B45" s="39" t="s">
        <v>69</v>
      </c>
      <c r="C45" s="40"/>
      <c r="D45" s="43" t="s">
        <v>70</v>
      </c>
      <c r="E45" s="42" t="s">
        <v>18</v>
      </c>
      <c r="F45" s="42" t="s">
        <v>18</v>
      </c>
      <c r="G45" s="65" t="s">
        <v>18</v>
      </c>
      <c r="H45" s="65" t="s">
        <v>18</v>
      </c>
      <c r="I45" s="42" t="s">
        <v>18</v>
      </c>
      <c r="J45" s="42" t="s">
        <v>18</v>
      </c>
      <c r="K45" s="38"/>
      <c r="L45" s="42" t="s">
        <v>18</v>
      </c>
      <c r="M45" s="42" t="s">
        <v>18</v>
      </c>
      <c r="N45" s="38"/>
      <c r="O45" s="38"/>
      <c r="P45" s="38"/>
      <c r="Q45" s="38"/>
      <c r="R45" s="38"/>
      <c r="S45" s="38"/>
      <c r="T45" s="38"/>
      <c r="U45" s="38"/>
      <c r="V45" s="38"/>
      <c r="W45" s="38"/>
    </row>
    <row r="46" ht="22.5" customHeight="1">
      <c r="A46" s="38"/>
      <c r="B46" s="39" t="s">
        <v>184</v>
      </c>
      <c r="C46" s="40"/>
      <c r="D46" s="43" t="s">
        <v>185</v>
      </c>
      <c r="E46" s="42" t="s">
        <v>18</v>
      </c>
      <c r="F46" s="42" t="s">
        <v>18</v>
      </c>
      <c r="G46" s="65" t="s">
        <v>18</v>
      </c>
      <c r="H46" s="65" t="s">
        <v>18</v>
      </c>
      <c r="I46" s="42" t="s">
        <v>18</v>
      </c>
      <c r="J46" s="42" t="s">
        <v>19</v>
      </c>
      <c r="K46" s="38"/>
      <c r="L46" s="42" t="s">
        <v>18</v>
      </c>
      <c r="M46" s="42" t="s">
        <v>18</v>
      </c>
      <c r="N46" s="38"/>
      <c r="O46" s="38"/>
      <c r="P46" s="38"/>
      <c r="Q46" s="38"/>
      <c r="R46" s="38"/>
      <c r="S46" s="38"/>
      <c r="T46" s="38"/>
      <c r="U46" s="38"/>
      <c r="V46" s="38"/>
      <c r="W46" s="38"/>
    </row>
    <row r="47" ht="22.5" customHeight="1">
      <c r="A47" s="38"/>
      <c r="B47" s="39" t="s">
        <v>186</v>
      </c>
      <c r="C47" s="40"/>
      <c r="D47" s="43"/>
      <c r="E47" s="30" t="s">
        <v>35</v>
      </c>
      <c r="F47" s="30" t="s">
        <v>35</v>
      </c>
      <c r="G47" s="74" t="s">
        <v>35</v>
      </c>
      <c r="H47" s="74" t="s">
        <v>35</v>
      </c>
      <c r="I47" s="30" t="s">
        <v>35</v>
      </c>
      <c r="J47" s="30" t="s">
        <v>35</v>
      </c>
      <c r="K47" s="38"/>
      <c r="L47" s="30" t="s">
        <v>35</v>
      </c>
      <c r="M47" s="30" t="s">
        <v>35</v>
      </c>
      <c r="N47" s="38"/>
      <c r="O47" s="38"/>
      <c r="P47" s="38"/>
      <c r="Q47" s="38"/>
      <c r="R47" s="38"/>
      <c r="S47" s="38"/>
      <c r="T47" s="38"/>
      <c r="U47" s="38"/>
      <c r="V47" s="38"/>
      <c r="W47" s="38"/>
    </row>
    <row r="48" ht="32.25" customHeight="1" outlineLevel="1">
      <c r="A48" s="38"/>
      <c r="B48" s="39"/>
      <c r="C48" s="33" t="s">
        <v>187</v>
      </c>
      <c r="D48" s="43" t="s">
        <v>188</v>
      </c>
      <c r="E48" s="42" t="s">
        <v>18</v>
      </c>
      <c r="F48" s="42" t="s">
        <v>18</v>
      </c>
      <c r="G48" s="65" t="s">
        <v>18</v>
      </c>
      <c r="H48" s="65" t="s">
        <v>18</v>
      </c>
      <c r="I48" s="42" t="s">
        <v>19</v>
      </c>
      <c r="J48" s="42" t="s">
        <v>19</v>
      </c>
      <c r="K48" s="38"/>
      <c r="L48" s="42" t="s">
        <v>18</v>
      </c>
      <c r="M48" s="42" t="s">
        <v>19</v>
      </c>
      <c r="N48" s="38"/>
      <c r="O48" s="38"/>
      <c r="P48" s="38"/>
      <c r="Q48" s="38"/>
      <c r="R48" s="38"/>
      <c r="S48" s="38"/>
      <c r="T48" s="38"/>
      <c r="U48" s="38"/>
      <c r="V48" s="38"/>
      <c r="W48" s="38"/>
    </row>
    <row r="49" ht="22.5" customHeight="1" outlineLevel="1">
      <c r="A49" s="38"/>
      <c r="B49" s="39"/>
      <c r="C49" s="33" t="s">
        <v>189</v>
      </c>
      <c r="D49" s="43" t="s">
        <v>190</v>
      </c>
      <c r="E49" s="42" t="s">
        <v>18</v>
      </c>
      <c r="F49" s="42" t="s">
        <v>18</v>
      </c>
      <c r="G49" s="65" t="s">
        <v>18</v>
      </c>
      <c r="H49" s="65" t="s">
        <v>18</v>
      </c>
      <c r="I49" s="73" t="s">
        <v>19</v>
      </c>
      <c r="J49" s="73" t="s">
        <v>19</v>
      </c>
      <c r="K49" s="38"/>
      <c r="L49" s="42" t="s">
        <v>18</v>
      </c>
      <c r="M49" s="73" t="s">
        <v>19</v>
      </c>
      <c r="N49" s="38"/>
      <c r="O49" s="38"/>
      <c r="P49" s="38"/>
      <c r="Q49" s="38"/>
      <c r="R49" s="38"/>
      <c r="S49" s="38"/>
      <c r="T49" s="38"/>
      <c r="U49" s="38"/>
      <c r="V49" s="38"/>
      <c r="W49" s="38"/>
    </row>
    <row r="50" ht="22.5" customHeight="1" outlineLevel="1">
      <c r="A50" s="38"/>
      <c r="B50" s="39"/>
      <c r="C50" s="33" t="s">
        <v>191</v>
      </c>
      <c r="D50" s="43" t="s">
        <v>192</v>
      </c>
      <c r="E50" s="42" t="s">
        <v>18</v>
      </c>
      <c r="F50" s="42" t="s">
        <v>18</v>
      </c>
      <c r="G50" s="65" t="s">
        <v>18</v>
      </c>
      <c r="H50" s="65" t="s">
        <v>18</v>
      </c>
      <c r="I50" s="42" t="s">
        <v>19</v>
      </c>
      <c r="J50" s="42" t="s">
        <v>19</v>
      </c>
      <c r="K50" s="38"/>
      <c r="L50" s="42" t="s">
        <v>18</v>
      </c>
      <c r="M50" s="42" t="s">
        <v>19</v>
      </c>
      <c r="N50" s="38"/>
      <c r="O50" s="38"/>
      <c r="P50" s="38"/>
      <c r="Q50" s="38"/>
      <c r="R50" s="38"/>
      <c r="S50" s="38"/>
      <c r="T50" s="38"/>
      <c r="U50" s="38"/>
      <c r="V50" s="38"/>
      <c r="W50" s="38"/>
    </row>
    <row r="51" ht="22.5" customHeight="1">
      <c r="A51" s="38"/>
      <c r="B51" s="75" t="s">
        <v>193</v>
      </c>
      <c r="C51" s="39"/>
      <c r="D51" s="43"/>
      <c r="E51" s="30" t="s">
        <v>35</v>
      </c>
      <c r="F51" s="30" t="s">
        <v>35</v>
      </c>
      <c r="G51" s="74" t="s">
        <v>35</v>
      </c>
      <c r="H51" s="74" t="s">
        <v>35</v>
      </c>
      <c r="I51" s="30" t="s">
        <v>35</v>
      </c>
      <c r="J51" s="30" t="s">
        <v>35</v>
      </c>
      <c r="K51" s="38"/>
      <c r="L51" s="30" t="s">
        <v>35</v>
      </c>
      <c r="M51" s="30" t="s">
        <v>35</v>
      </c>
      <c r="N51" s="38"/>
      <c r="O51" s="38"/>
      <c r="P51" s="38"/>
      <c r="Q51" s="38"/>
      <c r="R51" s="38"/>
      <c r="S51" s="38"/>
      <c r="T51" s="38"/>
      <c r="U51" s="38"/>
      <c r="V51" s="38"/>
      <c r="W51" s="38"/>
    </row>
    <row r="52" ht="22.5" customHeight="1" outlineLevel="1">
      <c r="A52" s="38"/>
      <c r="C52" s="66" t="s">
        <v>194</v>
      </c>
      <c r="D52" s="43" t="s">
        <v>195</v>
      </c>
      <c r="E52" s="42" t="s">
        <v>18</v>
      </c>
      <c r="F52" s="42" t="s">
        <v>101</v>
      </c>
      <c r="G52" s="42"/>
      <c r="H52" s="42"/>
      <c r="I52" s="42" t="s">
        <v>19</v>
      </c>
      <c r="J52" s="42" t="s">
        <v>19</v>
      </c>
      <c r="K52" s="38"/>
      <c r="L52" s="42"/>
      <c r="M52" s="42"/>
      <c r="N52" s="38"/>
      <c r="O52" s="38"/>
      <c r="P52" s="38"/>
      <c r="Q52" s="38"/>
      <c r="R52" s="38"/>
      <c r="S52" s="38"/>
      <c r="T52" s="38"/>
      <c r="U52" s="38"/>
      <c r="V52" s="38"/>
      <c r="W52" s="38"/>
    </row>
    <row r="53" ht="22.5" customHeight="1" outlineLevel="1">
      <c r="A53" s="38"/>
      <c r="C53" s="66" t="s">
        <v>196</v>
      </c>
      <c r="D53" s="43" t="s">
        <v>197</v>
      </c>
      <c r="E53" s="42" t="s">
        <v>18</v>
      </c>
      <c r="F53" s="42" t="s">
        <v>18</v>
      </c>
      <c r="G53" s="42"/>
      <c r="H53" s="42"/>
      <c r="I53" s="42" t="s">
        <v>19</v>
      </c>
      <c r="J53" s="42" t="s">
        <v>19</v>
      </c>
      <c r="K53" s="38"/>
      <c r="L53" s="42" t="s">
        <v>19</v>
      </c>
      <c r="M53" s="42" t="s">
        <v>19</v>
      </c>
      <c r="N53" s="38"/>
      <c r="O53" s="38"/>
      <c r="P53" s="38"/>
      <c r="Q53" s="38"/>
      <c r="R53" s="38"/>
      <c r="S53" s="38"/>
      <c r="T53" s="38"/>
      <c r="U53" s="38"/>
      <c r="V53" s="38"/>
      <c r="W53" s="38"/>
    </row>
    <row r="54" ht="22.5" customHeight="1" outlineLevel="1">
      <c r="A54" s="38"/>
      <c r="C54" s="66" t="s">
        <v>198</v>
      </c>
      <c r="D54" s="43" t="s">
        <v>199</v>
      </c>
      <c r="E54" s="42" t="s">
        <v>58</v>
      </c>
      <c r="F54" s="42" t="s">
        <v>58</v>
      </c>
      <c r="G54" s="42"/>
      <c r="H54" s="42"/>
      <c r="I54" s="42" t="s">
        <v>19</v>
      </c>
      <c r="J54" s="42" t="s">
        <v>19</v>
      </c>
      <c r="K54" s="38"/>
      <c r="L54" s="42" t="s">
        <v>58</v>
      </c>
      <c r="M54" s="42" t="s">
        <v>19</v>
      </c>
      <c r="N54" s="38"/>
      <c r="O54" s="38"/>
      <c r="P54" s="38"/>
      <c r="Q54" s="38"/>
      <c r="R54" s="38"/>
      <c r="S54" s="38"/>
      <c r="T54" s="38"/>
      <c r="U54" s="38"/>
      <c r="V54" s="38"/>
      <c r="W54" s="38"/>
    </row>
    <row r="55" ht="22.5" customHeight="1" outlineLevel="1">
      <c r="A55" s="38"/>
      <c r="C55" s="66" t="s">
        <v>73</v>
      </c>
      <c r="D55" s="43" t="s">
        <v>74</v>
      </c>
      <c r="E55" s="42" t="s">
        <v>19</v>
      </c>
      <c r="F55" s="42" t="s">
        <v>19</v>
      </c>
      <c r="G55" s="65" t="s">
        <v>19</v>
      </c>
      <c r="H55" s="65" t="s">
        <v>19</v>
      </c>
      <c r="I55" s="42" t="s">
        <v>19</v>
      </c>
      <c r="J55" s="42" t="s">
        <v>19</v>
      </c>
      <c r="K55" s="38"/>
      <c r="L55" s="42" t="s">
        <v>19</v>
      </c>
      <c r="M55" s="42" t="s">
        <v>19</v>
      </c>
      <c r="N55" s="38"/>
      <c r="O55" s="38"/>
      <c r="P55" s="38"/>
      <c r="Q55" s="38"/>
      <c r="R55" s="38"/>
      <c r="S55" s="38"/>
      <c r="T55" s="38"/>
      <c r="U55" s="38"/>
      <c r="V55" s="38"/>
      <c r="W55" s="38"/>
    </row>
    <row r="56" ht="22.5" customHeight="1" outlineLevel="1">
      <c r="A56" s="38"/>
      <c r="C56" s="66" t="s">
        <v>75</v>
      </c>
      <c r="D56" s="43" t="s">
        <v>76</v>
      </c>
      <c r="E56" s="42" t="s">
        <v>19</v>
      </c>
      <c r="F56" s="42" t="s">
        <v>19</v>
      </c>
      <c r="G56" s="65" t="s">
        <v>19</v>
      </c>
      <c r="H56" s="65" t="s">
        <v>19</v>
      </c>
      <c r="I56" s="42" t="s">
        <v>19</v>
      </c>
      <c r="J56" s="42" t="s">
        <v>19</v>
      </c>
      <c r="K56" s="38"/>
      <c r="L56" s="42" t="s">
        <v>19</v>
      </c>
      <c r="M56" s="42" t="s">
        <v>19</v>
      </c>
      <c r="N56" s="38"/>
      <c r="O56" s="38"/>
      <c r="P56" s="38"/>
      <c r="Q56" s="38"/>
      <c r="R56" s="38"/>
      <c r="S56" s="38"/>
      <c r="T56" s="38"/>
      <c r="U56" s="38"/>
      <c r="V56" s="38"/>
      <c r="W56" s="38"/>
    </row>
    <row r="57" ht="22.5" customHeight="1" outlineLevel="1">
      <c r="A57" s="38"/>
      <c r="C57" s="66" t="s">
        <v>200</v>
      </c>
      <c r="D57" s="43" t="s">
        <v>201</v>
      </c>
      <c r="E57" s="42" t="s">
        <v>19</v>
      </c>
      <c r="F57" s="42" t="s">
        <v>19</v>
      </c>
      <c r="G57" s="65" t="s">
        <v>19</v>
      </c>
      <c r="H57" s="65" t="s">
        <v>19</v>
      </c>
      <c r="I57" s="42" t="s">
        <v>19</v>
      </c>
      <c r="J57" s="42" t="s">
        <v>19</v>
      </c>
      <c r="K57" s="38"/>
      <c r="L57" s="42" t="s">
        <v>19</v>
      </c>
      <c r="M57" s="42" t="s">
        <v>19</v>
      </c>
      <c r="N57" s="38"/>
      <c r="O57" s="38"/>
      <c r="P57" s="38"/>
      <c r="Q57" s="38"/>
      <c r="R57" s="38"/>
      <c r="S57" s="38"/>
      <c r="T57" s="38"/>
      <c r="U57" s="38"/>
      <c r="V57" s="38"/>
      <c r="W57" s="38"/>
    </row>
    <row r="58" ht="22.5" customHeight="1" outlineLevel="1">
      <c r="A58" s="38"/>
      <c r="C58" s="66" t="s">
        <v>202</v>
      </c>
      <c r="D58" s="43" t="s">
        <v>203</v>
      </c>
      <c r="E58" s="42" t="s">
        <v>58</v>
      </c>
      <c r="F58" s="42" t="s">
        <v>58</v>
      </c>
      <c r="G58" s="65" t="s">
        <v>18</v>
      </c>
      <c r="H58" s="65" t="s">
        <v>204</v>
      </c>
      <c r="I58" s="42" t="s">
        <v>204</v>
      </c>
      <c r="J58" s="42" t="s">
        <v>204</v>
      </c>
      <c r="K58" s="38"/>
      <c r="L58" s="42" t="s">
        <v>58</v>
      </c>
      <c r="M58" s="42" t="s">
        <v>19</v>
      </c>
      <c r="N58" s="38"/>
      <c r="O58" s="38"/>
      <c r="P58" s="38"/>
      <c r="Q58" s="38"/>
      <c r="R58" s="38"/>
      <c r="S58" s="38"/>
      <c r="T58" s="38"/>
      <c r="U58" s="38"/>
      <c r="V58" s="38"/>
      <c r="W58" s="38"/>
    </row>
    <row r="59" ht="22.5" customHeight="1" outlineLevel="1">
      <c r="A59" s="38"/>
      <c r="C59" s="66" t="s">
        <v>205</v>
      </c>
      <c r="D59" s="41"/>
      <c r="E59" s="42" t="s">
        <v>18</v>
      </c>
      <c r="F59" s="42" t="s">
        <v>18</v>
      </c>
      <c r="G59" s="65" t="s">
        <v>18</v>
      </c>
      <c r="H59" s="65" t="s">
        <v>18</v>
      </c>
      <c r="I59" s="42" t="s">
        <v>18</v>
      </c>
      <c r="J59" s="42" t="s">
        <v>18</v>
      </c>
      <c r="K59" s="38"/>
      <c r="L59" s="42" t="s">
        <v>18</v>
      </c>
      <c r="M59" s="73" t="s">
        <v>19</v>
      </c>
      <c r="N59" s="38"/>
      <c r="O59" s="38"/>
      <c r="P59" s="38"/>
      <c r="Q59" s="38"/>
      <c r="R59" s="38"/>
      <c r="S59" s="38"/>
      <c r="T59" s="38"/>
      <c r="U59" s="38"/>
      <c r="V59" s="38"/>
      <c r="W59" s="38"/>
    </row>
    <row r="60" ht="22.5" customHeight="1" outlineLevel="1">
      <c r="A60" s="38"/>
      <c r="C60" s="66" t="s">
        <v>206</v>
      </c>
      <c r="D60" s="43" t="s">
        <v>207</v>
      </c>
      <c r="E60" s="42" t="s">
        <v>18</v>
      </c>
      <c r="F60" s="42" t="s">
        <v>18</v>
      </c>
      <c r="G60" s="65" t="s">
        <v>18</v>
      </c>
      <c r="H60" s="65" t="s">
        <v>18</v>
      </c>
      <c r="I60" s="42" t="s">
        <v>19</v>
      </c>
      <c r="J60" s="42" t="s">
        <v>19</v>
      </c>
      <c r="K60" s="38"/>
      <c r="L60" s="42" t="s">
        <v>18</v>
      </c>
      <c r="M60" s="42" t="s">
        <v>18</v>
      </c>
      <c r="N60" s="38"/>
      <c r="O60" s="38"/>
      <c r="P60" s="38"/>
      <c r="Q60" s="38"/>
      <c r="R60" s="38"/>
      <c r="S60" s="38"/>
      <c r="T60" s="38"/>
      <c r="U60" s="38"/>
      <c r="V60" s="38"/>
      <c r="W60" s="38"/>
    </row>
    <row r="61" ht="22.5" customHeight="1" outlineLevel="1">
      <c r="A61" s="38"/>
      <c r="C61" s="66" t="s">
        <v>208</v>
      </c>
      <c r="D61" s="43" t="s">
        <v>209</v>
      </c>
      <c r="E61" s="42" t="s">
        <v>18</v>
      </c>
      <c r="F61" s="42" t="s">
        <v>19</v>
      </c>
      <c r="G61" s="65" t="s">
        <v>18</v>
      </c>
      <c r="H61" s="65" t="s">
        <v>19</v>
      </c>
      <c r="I61" s="42" t="s">
        <v>19</v>
      </c>
      <c r="J61" s="42" t="s">
        <v>19</v>
      </c>
      <c r="K61" s="38"/>
      <c r="L61" s="42" t="s">
        <v>18</v>
      </c>
      <c r="M61" s="42" t="s">
        <v>18</v>
      </c>
      <c r="N61" s="38"/>
      <c r="O61" s="38"/>
      <c r="P61" s="38"/>
      <c r="Q61" s="38"/>
      <c r="R61" s="38"/>
      <c r="S61" s="38"/>
      <c r="T61" s="38"/>
      <c r="U61" s="38"/>
      <c r="V61" s="38"/>
      <c r="W61" s="38"/>
    </row>
    <row r="62" outlineLevel="1">
      <c r="A62" s="38"/>
      <c r="C62" s="66" t="s">
        <v>210</v>
      </c>
      <c r="D62" s="43" t="s">
        <v>211</v>
      </c>
      <c r="E62" s="42" t="s">
        <v>18</v>
      </c>
      <c r="F62" s="42" t="s">
        <v>19</v>
      </c>
      <c r="G62" s="65" t="s">
        <v>18</v>
      </c>
      <c r="H62" s="65" t="s">
        <v>19</v>
      </c>
      <c r="I62" s="42" t="s">
        <v>19</v>
      </c>
      <c r="J62" s="42" t="s">
        <v>19</v>
      </c>
      <c r="K62" s="38"/>
      <c r="L62" s="42" t="s">
        <v>18</v>
      </c>
      <c r="M62" s="42" t="s">
        <v>18</v>
      </c>
      <c r="N62" s="38"/>
      <c r="O62" s="38"/>
      <c r="P62" s="38"/>
      <c r="Q62" s="38"/>
      <c r="R62" s="38"/>
      <c r="S62" s="38"/>
      <c r="T62" s="38"/>
      <c r="U62" s="38"/>
      <c r="V62" s="38"/>
      <c r="W62" s="38"/>
    </row>
    <row r="63" ht="22.5" customHeight="1" outlineLevel="1">
      <c r="A63" s="38"/>
      <c r="C63" s="66" t="s">
        <v>212</v>
      </c>
      <c r="D63" s="41"/>
      <c r="E63" s="42" t="s">
        <v>18</v>
      </c>
      <c r="F63" s="42" t="s">
        <v>18</v>
      </c>
      <c r="G63" s="65" t="s">
        <v>18</v>
      </c>
      <c r="H63" s="65" t="s">
        <v>18</v>
      </c>
      <c r="I63" s="42" t="s">
        <v>18</v>
      </c>
      <c r="J63" s="42" t="s">
        <v>18</v>
      </c>
      <c r="K63" s="38"/>
      <c r="L63" s="42" t="s">
        <v>18</v>
      </c>
      <c r="M63" s="42" t="s">
        <v>18</v>
      </c>
      <c r="N63" s="38"/>
      <c r="O63" s="38"/>
      <c r="P63" s="38"/>
      <c r="Q63" s="38"/>
      <c r="R63" s="38"/>
      <c r="S63" s="38"/>
      <c r="T63" s="38"/>
      <c r="U63" s="38"/>
      <c r="V63" s="38"/>
      <c r="W63" s="38"/>
    </row>
    <row r="64" ht="22.5" customHeight="1" outlineLevel="1">
      <c r="A64" s="38"/>
      <c r="C64" s="66" t="s">
        <v>213</v>
      </c>
      <c r="D64" s="41"/>
      <c r="E64" s="42" t="s">
        <v>18</v>
      </c>
      <c r="F64" s="42" t="s">
        <v>204</v>
      </c>
      <c r="G64" s="65" t="s">
        <v>18</v>
      </c>
      <c r="H64" s="65" t="s">
        <v>18</v>
      </c>
      <c r="I64" s="42" t="s">
        <v>204</v>
      </c>
      <c r="J64" s="42" t="s">
        <v>204</v>
      </c>
      <c r="K64" s="38"/>
      <c r="L64" s="42" t="s">
        <v>18</v>
      </c>
      <c r="M64" s="42" t="s">
        <v>19</v>
      </c>
      <c r="N64" s="38"/>
      <c r="O64" s="38"/>
      <c r="P64" s="38"/>
      <c r="Q64" s="38"/>
      <c r="R64" s="38"/>
      <c r="S64" s="38"/>
      <c r="T64" s="38"/>
      <c r="U64" s="38"/>
      <c r="V64" s="38"/>
      <c r="W64" s="38"/>
    </row>
    <row r="65" ht="22.5" customHeight="1" outlineLevel="1">
      <c r="A65" s="38"/>
      <c r="C65" s="66" t="s">
        <v>214</v>
      </c>
      <c r="D65" s="41"/>
      <c r="E65" s="42" t="s">
        <v>18</v>
      </c>
      <c r="F65" s="42" t="s">
        <v>204</v>
      </c>
      <c r="G65" s="65" t="s">
        <v>18</v>
      </c>
      <c r="H65" s="65" t="s">
        <v>18</v>
      </c>
      <c r="I65" s="42" t="s">
        <v>204</v>
      </c>
      <c r="J65" s="42" t="s">
        <v>204</v>
      </c>
      <c r="K65" s="38"/>
      <c r="L65" s="42" t="s">
        <v>18</v>
      </c>
      <c r="M65" s="73" t="s">
        <v>204</v>
      </c>
      <c r="N65" s="38"/>
      <c r="O65" s="38"/>
      <c r="P65" s="38"/>
      <c r="Q65" s="38"/>
      <c r="R65" s="38"/>
      <c r="S65" s="38"/>
      <c r="T65" s="38"/>
      <c r="U65" s="38"/>
      <c r="V65" s="38"/>
      <c r="W65" s="38"/>
    </row>
    <row r="66" ht="22.5" customHeight="1" outlineLevel="1">
      <c r="A66" s="38"/>
      <c r="C66" s="66" t="s">
        <v>215</v>
      </c>
      <c r="D66" s="41"/>
      <c r="E66" s="42" t="s">
        <v>18</v>
      </c>
      <c r="F66" s="42" t="s">
        <v>204</v>
      </c>
      <c r="G66" s="65" t="s">
        <v>18</v>
      </c>
      <c r="H66" s="65" t="s">
        <v>18</v>
      </c>
      <c r="I66" s="42" t="s">
        <v>204</v>
      </c>
      <c r="J66" s="42" t="s">
        <v>204</v>
      </c>
      <c r="K66" s="38"/>
      <c r="L66" s="42" t="s">
        <v>18</v>
      </c>
      <c r="M66" s="73" t="s">
        <v>204</v>
      </c>
      <c r="N66" s="38"/>
      <c r="O66" s="38"/>
      <c r="P66" s="38"/>
      <c r="Q66" s="38"/>
      <c r="R66" s="38"/>
      <c r="S66" s="38"/>
      <c r="T66" s="38"/>
      <c r="U66" s="38"/>
      <c r="V66" s="38"/>
      <c r="W66" s="38"/>
    </row>
    <row r="67" ht="22.5" customHeight="1" outlineLevel="1">
      <c r="A67" s="38"/>
      <c r="C67" s="66" t="s">
        <v>216</v>
      </c>
      <c r="D67" s="43" t="s">
        <v>217</v>
      </c>
      <c r="E67" s="42" t="s">
        <v>18</v>
      </c>
      <c r="F67" s="42" t="s">
        <v>18</v>
      </c>
      <c r="G67" s="65" t="s">
        <v>18</v>
      </c>
      <c r="H67" s="65" t="s">
        <v>18</v>
      </c>
      <c r="I67" s="42" t="s">
        <v>18</v>
      </c>
      <c r="J67" s="42" t="s">
        <v>18</v>
      </c>
      <c r="K67" s="38"/>
      <c r="L67" s="42" t="s">
        <v>18</v>
      </c>
      <c r="M67" s="42" t="s">
        <v>58</v>
      </c>
      <c r="N67" s="38"/>
      <c r="O67" s="38"/>
      <c r="P67" s="38"/>
      <c r="Q67" s="38"/>
      <c r="R67" s="38"/>
      <c r="S67" s="38"/>
      <c r="T67" s="38"/>
      <c r="U67" s="38"/>
      <c r="V67" s="38"/>
      <c r="W67" s="38"/>
    </row>
    <row r="68" ht="22.5" customHeight="1" outlineLevel="1">
      <c r="A68" s="38"/>
      <c r="C68" s="66" t="s">
        <v>218</v>
      </c>
      <c r="D68" s="43" t="s">
        <v>219</v>
      </c>
      <c r="E68" s="42" t="s">
        <v>18</v>
      </c>
      <c r="F68" s="42" t="s">
        <v>18</v>
      </c>
      <c r="G68" s="65" t="s">
        <v>18</v>
      </c>
      <c r="H68" s="65" t="s">
        <v>18</v>
      </c>
      <c r="I68" s="42" t="s">
        <v>18</v>
      </c>
      <c r="J68" s="42" t="s">
        <v>18</v>
      </c>
      <c r="K68" s="38"/>
      <c r="L68" s="42" t="s">
        <v>18</v>
      </c>
      <c r="M68" s="73" t="s">
        <v>19</v>
      </c>
      <c r="N68" s="38"/>
      <c r="O68" s="38"/>
      <c r="P68" s="38"/>
      <c r="Q68" s="38"/>
      <c r="R68" s="38"/>
      <c r="S68" s="38"/>
      <c r="T68" s="38"/>
      <c r="U68" s="38"/>
      <c r="V68" s="38"/>
      <c r="W68" s="38"/>
    </row>
    <row r="69" ht="22.5" customHeight="1" outlineLevel="1">
      <c r="A69" s="38"/>
      <c r="C69" s="66" t="s">
        <v>220</v>
      </c>
      <c r="D69" s="43" t="s">
        <v>221</v>
      </c>
      <c r="E69" s="42" t="s">
        <v>18</v>
      </c>
      <c r="F69" s="42" t="s">
        <v>18</v>
      </c>
      <c r="G69" s="65" t="s">
        <v>18</v>
      </c>
      <c r="H69" s="65" t="s">
        <v>18</v>
      </c>
      <c r="I69" s="42" t="s">
        <v>101</v>
      </c>
      <c r="J69" s="42" t="s">
        <v>101</v>
      </c>
      <c r="K69" s="38"/>
      <c r="L69" s="42" t="s">
        <v>18</v>
      </c>
      <c r="M69" s="42" t="s">
        <v>101</v>
      </c>
      <c r="N69" s="38"/>
      <c r="O69" s="38"/>
      <c r="P69" s="38"/>
      <c r="Q69" s="38"/>
      <c r="R69" s="38"/>
      <c r="S69" s="38"/>
      <c r="T69" s="38"/>
      <c r="U69" s="38"/>
      <c r="V69" s="38"/>
      <c r="W69" s="38"/>
    </row>
    <row r="70" ht="22.5" customHeight="1" outlineLevel="1">
      <c r="A70" s="38"/>
      <c r="C70" s="66" t="s">
        <v>222</v>
      </c>
      <c r="D70" s="41"/>
      <c r="E70" s="42" t="s">
        <v>18</v>
      </c>
      <c r="F70" s="42" t="s">
        <v>18</v>
      </c>
      <c r="G70" s="65" t="s">
        <v>18</v>
      </c>
      <c r="H70" s="65" t="s">
        <v>18</v>
      </c>
      <c r="I70" s="42" t="s">
        <v>18</v>
      </c>
      <c r="J70" s="42" t="s">
        <v>18</v>
      </c>
      <c r="K70" s="38"/>
      <c r="L70" s="42" t="s">
        <v>18</v>
      </c>
      <c r="M70" s="42" t="s">
        <v>18</v>
      </c>
      <c r="N70" s="38"/>
      <c r="O70" s="38"/>
      <c r="P70" s="38"/>
      <c r="Q70" s="38"/>
      <c r="R70" s="38"/>
      <c r="S70" s="38"/>
      <c r="T70" s="38"/>
      <c r="U70" s="38"/>
      <c r="V70" s="38"/>
      <c r="W70" s="38"/>
    </row>
    <row r="71" ht="38.25" customHeight="1" outlineLevel="1">
      <c r="A71" s="38"/>
      <c r="C71" s="66" t="s">
        <v>223</v>
      </c>
      <c r="D71" s="43" t="s">
        <v>224</v>
      </c>
      <c r="E71" s="42" t="s">
        <v>18</v>
      </c>
      <c r="F71" s="42" t="s">
        <v>18</v>
      </c>
      <c r="G71" s="65" t="s">
        <v>18</v>
      </c>
      <c r="H71" s="65" t="s">
        <v>18</v>
      </c>
      <c r="I71" s="42" t="s">
        <v>19</v>
      </c>
      <c r="J71" s="42" t="s">
        <v>19</v>
      </c>
      <c r="K71" s="38"/>
      <c r="L71" s="42" t="s">
        <v>18</v>
      </c>
      <c r="M71" s="42" t="s">
        <v>19</v>
      </c>
      <c r="N71" s="38"/>
      <c r="O71" s="38"/>
      <c r="P71" s="38"/>
      <c r="Q71" s="38"/>
      <c r="R71" s="38"/>
      <c r="S71" s="38"/>
      <c r="T71" s="38"/>
      <c r="U71" s="38"/>
      <c r="V71" s="38"/>
      <c r="W71" s="38"/>
    </row>
    <row r="72" ht="22.5" customHeight="1">
      <c r="A72" s="38"/>
      <c r="B72" s="39" t="s">
        <v>82</v>
      </c>
      <c r="C72" s="40"/>
      <c r="D72" s="43" t="s">
        <v>83</v>
      </c>
      <c r="E72" s="44" t="s">
        <v>84</v>
      </c>
      <c r="F72" s="45">
        <v>0.75</v>
      </c>
      <c r="G72" s="71">
        <v>0.85</v>
      </c>
      <c r="H72" s="71">
        <v>0.85</v>
      </c>
      <c r="I72" s="45">
        <v>0.95</v>
      </c>
      <c r="J72" s="45">
        <v>0.95</v>
      </c>
      <c r="K72" s="38"/>
      <c r="L72" s="44" t="s">
        <v>84</v>
      </c>
      <c r="M72" s="45">
        <v>0.95</v>
      </c>
      <c r="N72" s="38"/>
      <c r="O72" s="38"/>
      <c r="P72" s="38"/>
      <c r="Q72" s="38"/>
      <c r="R72" s="38"/>
      <c r="S72" s="38"/>
      <c r="T72" s="38"/>
      <c r="U72" s="38"/>
      <c r="V72" s="38"/>
      <c r="W72" s="38"/>
    </row>
    <row r="73" ht="22.5" customHeight="1">
      <c r="A73" s="38"/>
      <c r="B73" s="39" t="s">
        <v>225</v>
      </c>
      <c r="C73" s="40"/>
      <c r="D73" s="43" t="s">
        <v>226</v>
      </c>
      <c r="E73" s="44" t="s">
        <v>84</v>
      </c>
      <c r="F73" s="76">
        <v>2.0</v>
      </c>
      <c r="G73" s="77">
        <v>2.0</v>
      </c>
      <c r="H73" s="77">
        <v>2.0</v>
      </c>
      <c r="I73" s="76">
        <v>5.0</v>
      </c>
      <c r="J73" s="76">
        <v>10.0</v>
      </c>
      <c r="K73" s="38"/>
      <c r="L73" s="44" t="s">
        <v>84</v>
      </c>
      <c r="M73" s="76">
        <v>5.0</v>
      </c>
      <c r="N73" s="38"/>
      <c r="O73" s="38"/>
      <c r="P73" s="38"/>
      <c r="Q73" s="38"/>
      <c r="R73" s="38"/>
      <c r="S73" s="38"/>
      <c r="T73" s="38"/>
      <c r="U73" s="38"/>
      <c r="V73" s="38"/>
      <c r="W73" s="38"/>
    </row>
    <row r="74" ht="22.5" customHeight="1">
      <c r="A74" s="38"/>
      <c r="B74" s="39" t="s">
        <v>227</v>
      </c>
      <c r="C74" s="40"/>
      <c r="D74" s="43" t="s">
        <v>86</v>
      </c>
      <c r="E74" s="44" t="s">
        <v>84</v>
      </c>
      <c r="F74" s="78">
        <v>1.0</v>
      </c>
      <c r="G74" s="79">
        <v>1.0</v>
      </c>
      <c r="H74" s="79">
        <v>1.0</v>
      </c>
      <c r="I74" s="78">
        <v>0.25</v>
      </c>
      <c r="J74" s="78">
        <v>0.25</v>
      </c>
      <c r="K74" s="38"/>
      <c r="L74" s="44" t="s">
        <v>84</v>
      </c>
      <c r="M74" s="78">
        <v>0.5</v>
      </c>
      <c r="N74" s="38"/>
      <c r="O74" s="38"/>
      <c r="P74" s="38"/>
      <c r="Q74" s="38"/>
      <c r="R74" s="38"/>
      <c r="S74" s="38"/>
      <c r="T74" s="38"/>
      <c r="U74" s="38"/>
      <c r="V74" s="38"/>
      <c r="W74" s="38"/>
    </row>
    <row r="75" ht="22.5" customHeight="1" collapsed="1">
      <c r="A75" s="38"/>
      <c r="B75" s="39" t="s">
        <v>228</v>
      </c>
      <c r="C75" s="40"/>
      <c r="D75" s="43" t="s">
        <v>229</v>
      </c>
      <c r="E75" s="44" t="s">
        <v>84</v>
      </c>
      <c r="F75" s="48">
        <v>0.75</v>
      </c>
      <c r="G75" s="80">
        <f t="shared" ref="G75:H75" si="1">5%*IF(G76="Yes",1, IF(G76="Partial", 0.5, 0)) + 15%*IF(G77="Yes",1, IF(G77="Partial", 0.5, 0)) + 80%*IF(G78="Yes",1, IF(G78="Partial", 0.5, 0))</f>
        <v>0</v>
      </c>
      <c r="H75" s="80">
        <f t="shared" si="1"/>
        <v>0</v>
      </c>
      <c r="I75" s="48">
        <v>0.9</v>
      </c>
      <c r="J75" s="48">
        <v>0.95</v>
      </c>
      <c r="K75" s="38"/>
      <c r="L75" s="44" t="s">
        <v>84</v>
      </c>
      <c r="M75" s="48">
        <v>0.85</v>
      </c>
      <c r="N75" s="38"/>
      <c r="O75" s="38"/>
      <c r="P75" s="38"/>
      <c r="Q75" s="38"/>
      <c r="R75" s="38"/>
      <c r="S75" s="38"/>
      <c r="T75" s="38"/>
      <c r="U75" s="38"/>
      <c r="V75" s="38"/>
      <c r="W75" s="38"/>
    </row>
    <row r="76" ht="22.5" hidden="1" customHeight="1" outlineLevel="1">
      <c r="A76" s="38"/>
      <c r="B76" s="40"/>
      <c r="C76" s="33" t="s">
        <v>230</v>
      </c>
      <c r="D76" s="41"/>
      <c r="E76" s="30" t="s">
        <v>84</v>
      </c>
      <c r="F76" s="30" t="s">
        <v>84</v>
      </c>
      <c r="G76" s="81">
        <v>30.0</v>
      </c>
      <c r="H76" s="81">
        <v>30.0</v>
      </c>
      <c r="I76" s="82">
        <v>30.0</v>
      </c>
      <c r="J76" s="82">
        <v>30.0</v>
      </c>
      <c r="K76" s="38"/>
      <c r="L76" s="30" t="s">
        <v>84</v>
      </c>
      <c r="M76" s="30" t="s">
        <v>84</v>
      </c>
      <c r="N76" s="38"/>
      <c r="O76" s="38"/>
      <c r="P76" s="38"/>
      <c r="Q76" s="38"/>
      <c r="R76" s="38"/>
      <c r="S76" s="38"/>
      <c r="T76" s="38"/>
      <c r="U76" s="38"/>
      <c r="V76" s="38"/>
      <c r="W76" s="38"/>
    </row>
    <row r="77" ht="22.5" hidden="1" customHeight="1" outlineLevel="1">
      <c r="A77" s="38"/>
      <c r="B77" s="40"/>
      <c r="C77" s="33" t="s">
        <v>231</v>
      </c>
      <c r="D77" s="41"/>
      <c r="E77" s="30" t="s">
        <v>84</v>
      </c>
      <c r="F77" s="82">
        <v>120.0</v>
      </c>
      <c r="G77" s="81">
        <v>120.0</v>
      </c>
      <c r="H77" s="81">
        <v>120.0</v>
      </c>
      <c r="I77" s="82">
        <v>120.0</v>
      </c>
      <c r="J77" s="82">
        <v>60.0</v>
      </c>
      <c r="K77" s="38"/>
      <c r="L77" s="30" t="s">
        <v>84</v>
      </c>
      <c r="M77" s="30" t="s">
        <v>84</v>
      </c>
      <c r="N77" s="38"/>
      <c r="O77" s="38"/>
      <c r="P77" s="38"/>
      <c r="Q77" s="38"/>
      <c r="R77" s="38"/>
      <c r="S77" s="38"/>
      <c r="T77" s="38"/>
      <c r="U77" s="38"/>
      <c r="V77" s="38"/>
      <c r="W77" s="38"/>
    </row>
    <row r="78" ht="22.5" hidden="1" customHeight="1" outlineLevel="1">
      <c r="A78" s="38"/>
      <c r="B78" s="40"/>
      <c r="C78" s="33" t="s">
        <v>232</v>
      </c>
      <c r="D78" s="41"/>
      <c r="E78" s="30" t="s">
        <v>84</v>
      </c>
      <c r="F78" s="82">
        <v>300.0</v>
      </c>
      <c r="G78" s="81">
        <v>300.0</v>
      </c>
      <c r="H78" s="81">
        <v>300.0</v>
      </c>
      <c r="I78" s="82">
        <v>300.0</v>
      </c>
      <c r="J78" s="82">
        <v>120.0</v>
      </c>
      <c r="K78" s="38"/>
      <c r="L78" s="30" t="s">
        <v>84</v>
      </c>
      <c r="M78" s="82">
        <v>120.0</v>
      </c>
      <c r="N78" s="38"/>
      <c r="O78" s="38"/>
      <c r="P78" s="38"/>
      <c r="Q78" s="38"/>
      <c r="R78" s="38"/>
      <c r="S78" s="38"/>
      <c r="T78" s="38"/>
      <c r="U78" s="38"/>
      <c r="V78" s="38"/>
      <c r="W78" s="38"/>
    </row>
    <row r="79" ht="22.5" customHeight="1">
      <c r="A79" s="38"/>
      <c r="B79" s="83"/>
      <c r="C79" s="83"/>
      <c r="D79" s="84"/>
      <c r="E79" s="85"/>
      <c r="F79" s="85"/>
      <c r="G79" s="85"/>
      <c r="H79" s="85"/>
      <c r="I79" s="85"/>
      <c r="J79" s="85"/>
      <c r="K79" s="85"/>
      <c r="L79" s="85"/>
      <c r="M79" s="85"/>
      <c r="N79" s="85"/>
      <c r="O79" s="85"/>
      <c r="P79" s="85"/>
      <c r="Q79" s="85"/>
      <c r="R79" s="85"/>
      <c r="S79" s="38"/>
      <c r="T79" s="38"/>
      <c r="U79" s="38"/>
      <c r="V79" s="38"/>
      <c r="W79" s="38"/>
    </row>
    <row r="80" ht="22.5" customHeight="1">
      <c r="A80" s="38"/>
      <c r="B80" s="39"/>
      <c r="C80" s="86"/>
      <c r="D80" s="41"/>
      <c r="E80" s="38"/>
      <c r="F80" s="38"/>
      <c r="G80" s="38"/>
      <c r="H80" s="38"/>
      <c r="I80" s="38"/>
      <c r="J80" s="38"/>
      <c r="K80" s="38"/>
      <c r="L80" s="38"/>
      <c r="M80" s="38"/>
      <c r="N80" s="38"/>
      <c r="O80" s="38"/>
      <c r="P80" s="38"/>
      <c r="Q80" s="38"/>
      <c r="R80" s="38"/>
      <c r="S80" s="38"/>
      <c r="T80" s="38"/>
      <c r="U80" s="38"/>
      <c r="V80" s="38"/>
      <c r="W80" s="38"/>
    </row>
    <row r="81" ht="22.5" customHeight="1">
      <c r="A81" s="38"/>
      <c r="B81" s="39"/>
      <c r="C81" s="86"/>
      <c r="D81" s="41"/>
      <c r="E81" s="38"/>
      <c r="F81" s="38"/>
      <c r="G81" s="87"/>
      <c r="H81" s="87"/>
      <c r="I81" s="38"/>
      <c r="J81" s="38"/>
      <c r="K81" s="38"/>
      <c r="L81" s="38"/>
      <c r="M81" s="38"/>
      <c r="N81" s="38"/>
      <c r="O81" s="38"/>
      <c r="P81" s="38"/>
      <c r="Q81" s="38"/>
      <c r="R81" s="38"/>
      <c r="S81" s="38"/>
      <c r="T81" s="38"/>
      <c r="U81" s="38"/>
      <c r="V81" s="38"/>
      <c r="W81" s="38"/>
    </row>
    <row r="82">
      <c r="A82" s="38"/>
      <c r="B82" s="39"/>
      <c r="C82" s="86"/>
      <c r="D82" s="41"/>
      <c r="E82" s="38"/>
      <c r="F82" s="38"/>
      <c r="G82" s="87"/>
      <c r="H82" s="87"/>
      <c r="I82" s="38"/>
      <c r="J82" s="38"/>
      <c r="K82" s="38"/>
      <c r="L82" s="38"/>
      <c r="M82" s="38"/>
    </row>
    <row r="83">
      <c r="A83" s="38"/>
      <c r="B83" s="39"/>
      <c r="C83" s="86"/>
      <c r="D83" s="41"/>
      <c r="E83" s="38"/>
      <c r="F83" s="38"/>
      <c r="G83" s="87"/>
      <c r="H83" s="87"/>
      <c r="I83" s="38"/>
      <c r="J83" s="38"/>
      <c r="K83" s="38"/>
      <c r="L83" s="38"/>
      <c r="M83" s="38"/>
    </row>
    <row r="84">
      <c r="A84" s="38"/>
      <c r="B84" s="39"/>
      <c r="C84" s="86"/>
      <c r="D84" s="41"/>
      <c r="E84" s="38"/>
      <c r="F84" s="38"/>
      <c r="G84" s="87"/>
      <c r="H84" s="87"/>
      <c r="I84" s="38"/>
      <c r="J84" s="38"/>
      <c r="K84" s="38"/>
      <c r="L84" s="38"/>
      <c r="M84" s="38"/>
    </row>
    <row r="85">
      <c r="A85" s="38"/>
      <c r="B85" s="39"/>
      <c r="C85" s="86"/>
      <c r="D85" s="41"/>
      <c r="E85" s="38"/>
      <c r="F85" s="38"/>
      <c r="G85" s="87"/>
      <c r="H85" s="87"/>
      <c r="I85" s="38"/>
      <c r="J85" s="38"/>
      <c r="K85" s="38"/>
      <c r="L85" s="38"/>
      <c r="M85" s="38"/>
    </row>
    <row r="86">
      <c r="A86" s="38"/>
      <c r="B86" s="39"/>
      <c r="C86" s="86"/>
      <c r="D86" s="41"/>
      <c r="E86" s="38"/>
      <c r="F86" s="38"/>
      <c r="G86" s="87"/>
      <c r="H86" s="87"/>
      <c r="I86" s="38"/>
      <c r="J86" s="38"/>
      <c r="K86" s="38"/>
      <c r="L86" s="38"/>
      <c r="M86" s="38"/>
    </row>
    <row r="87">
      <c r="A87" s="38"/>
      <c r="B87" s="39"/>
      <c r="C87" s="86"/>
      <c r="D87" s="41"/>
      <c r="E87" s="38"/>
      <c r="F87" s="38"/>
      <c r="G87" s="87"/>
      <c r="H87" s="87"/>
      <c r="I87" s="38"/>
      <c r="J87" s="38"/>
      <c r="K87" s="38"/>
      <c r="L87" s="38"/>
      <c r="M87" s="38"/>
    </row>
    <row r="88">
      <c r="A88" s="38"/>
      <c r="B88" s="39"/>
      <c r="C88" s="86"/>
      <c r="D88" s="41"/>
      <c r="E88" s="38"/>
      <c r="F88" s="38"/>
      <c r="G88" s="87"/>
      <c r="H88" s="87"/>
      <c r="I88" s="38"/>
      <c r="J88" s="38"/>
      <c r="K88" s="38"/>
      <c r="L88" s="38"/>
      <c r="M88" s="38"/>
    </row>
    <row r="89">
      <c r="A89" s="38"/>
      <c r="B89" s="39"/>
      <c r="C89" s="86"/>
      <c r="D89" s="41"/>
      <c r="E89" s="38"/>
      <c r="F89" s="38"/>
      <c r="G89" s="87"/>
      <c r="H89" s="87"/>
      <c r="I89" s="38"/>
      <c r="J89" s="38"/>
      <c r="K89" s="38"/>
      <c r="L89" s="38"/>
      <c r="M89" s="38"/>
    </row>
    <row r="90">
      <c r="A90" s="38"/>
      <c r="B90" s="39"/>
      <c r="C90" s="86"/>
      <c r="D90" s="41"/>
      <c r="E90" s="38"/>
      <c r="F90" s="38"/>
      <c r="G90" s="87"/>
      <c r="H90" s="87"/>
      <c r="I90" s="38"/>
      <c r="J90" s="38"/>
      <c r="K90" s="38"/>
      <c r="L90" s="38"/>
      <c r="M90" s="38"/>
    </row>
    <row r="91">
      <c r="A91" s="38"/>
      <c r="B91" s="39"/>
      <c r="C91" s="86"/>
      <c r="D91" s="41"/>
      <c r="E91" s="38"/>
      <c r="F91" s="38"/>
      <c r="G91" s="87"/>
      <c r="H91" s="87"/>
      <c r="I91" s="38"/>
      <c r="J91" s="38"/>
      <c r="K91" s="38"/>
      <c r="L91" s="38"/>
      <c r="M91" s="38"/>
    </row>
    <row r="92">
      <c r="A92" s="38"/>
      <c r="B92" s="39"/>
      <c r="C92" s="86"/>
      <c r="D92" s="41"/>
      <c r="E92" s="38"/>
      <c r="F92" s="38"/>
      <c r="G92" s="87"/>
      <c r="H92" s="87"/>
      <c r="I92" s="38"/>
      <c r="J92" s="38"/>
      <c r="K92" s="38"/>
      <c r="L92" s="38"/>
      <c r="M92" s="38"/>
    </row>
    <row r="93">
      <c r="A93" s="38"/>
      <c r="B93" s="39"/>
      <c r="C93" s="86"/>
      <c r="D93" s="41"/>
      <c r="E93" s="38"/>
      <c r="F93" s="38"/>
      <c r="G93" s="87"/>
      <c r="H93" s="87"/>
      <c r="I93" s="38"/>
      <c r="J93" s="38"/>
      <c r="K93" s="38"/>
      <c r="L93" s="38"/>
      <c r="M93" s="38"/>
    </row>
    <row r="94">
      <c r="A94" s="38"/>
      <c r="B94" s="39"/>
      <c r="C94" s="86"/>
      <c r="D94" s="43"/>
      <c r="E94" s="38"/>
      <c r="F94" s="38"/>
      <c r="G94" s="87"/>
      <c r="H94" s="87"/>
      <c r="I94" s="38"/>
      <c r="J94" s="38"/>
      <c r="K94" s="38"/>
      <c r="L94" s="38"/>
      <c r="M94" s="38"/>
    </row>
    <row r="95">
      <c r="A95" s="38"/>
      <c r="B95" s="39"/>
      <c r="C95" s="86"/>
      <c r="D95" s="41"/>
      <c r="E95" s="38"/>
      <c r="F95" s="38"/>
      <c r="G95" s="87"/>
      <c r="H95" s="87"/>
      <c r="I95" s="38"/>
      <c r="J95" s="38"/>
      <c r="K95" s="38"/>
      <c r="L95" s="38"/>
      <c r="M95" s="38"/>
    </row>
    <row r="96">
      <c r="A96" s="38"/>
      <c r="B96" s="39"/>
      <c r="C96" s="86"/>
      <c r="D96" s="41"/>
      <c r="E96" s="38"/>
      <c r="F96" s="38"/>
      <c r="G96" s="87"/>
      <c r="H96" s="87"/>
      <c r="I96" s="38"/>
      <c r="J96" s="38"/>
      <c r="K96" s="38"/>
      <c r="L96" s="38"/>
      <c r="M96" s="38"/>
    </row>
    <row r="97">
      <c r="A97" s="38"/>
      <c r="B97" s="39"/>
      <c r="C97" s="86"/>
      <c r="D97" s="41"/>
      <c r="E97" s="38"/>
      <c r="F97" s="38"/>
      <c r="G97" s="87"/>
      <c r="H97" s="87"/>
      <c r="I97" s="38"/>
      <c r="J97" s="38"/>
      <c r="K97" s="38"/>
      <c r="L97" s="38"/>
      <c r="M97" s="38"/>
    </row>
    <row r="98">
      <c r="A98" s="38"/>
      <c r="B98" s="39"/>
      <c r="C98" s="86"/>
      <c r="D98" s="41"/>
      <c r="E98" s="38"/>
      <c r="F98" s="38"/>
      <c r="G98" s="87"/>
      <c r="H98" s="87"/>
      <c r="I98" s="38"/>
      <c r="J98" s="38"/>
      <c r="K98" s="38"/>
      <c r="L98" s="38"/>
      <c r="M98" s="38"/>
    </row>
    <row r="99">
      <c r="A99" s="38"/>
      <c r="B99" s="39"/>
      <c r="C99" s="86"/>
      <c r="D99" s="41"/>
      <c r="E99" s="38"/>
      <c r="F99" s="38"/>
      <c r="G99" s="87"/>
      <c r="H99" s="87"/>
      <c r="I99" s="38"/>
      <c r="J99" s="38"/>
      <c r="K99" s="38"/>
      <c r="L99" s="38"/>
      <c r="M99" s="38"/>
    </row>
    <row r="100">
      <c r="A100" s="38"/>
      <c r="B100" s="39"/>
      <c r="C100" s="86"/>
      <c r="D100" s="41"/>
      <c r="E100" s="38"/>
      <c r="F100" s="38"/>
      <c r="G100" s="87"/>
      <c r="H100" s="87"/>
      <c r="I100" s="38"/>
      <c r="J100" s="38"/>
      <c r="K100" s="38"/>
      <c r="L100" s="38"/>
      <c r="M100" s="38"/>
    </row>
    <row r="101">
      <c r="A101" s="38"/>
      <c r="B101" s="39"/>
      <c r="C101" s="86"/>
      <c r="D101" s="41"/>
      <c r="E101" s="38"/>
      <c r="F101" s="38"/>
      <c r="G101" s="87"/>
      <c r="H101" s="87"/>
      <c r="I101" s="38"/>
      <c r="J101" s="38"/>
      <c r="K101" s="38"/>
      <c r="L101" s="38"/>
      <c r="M101" s="38"/>
    </row>
    <row r="102">
      <c r="A102" s="38"/>
      <c r="B102" s="39"/>
      <c r="C102" s="86"/>
      <c r="D102" s="41"/>
      <c r="E102" s="38"/>
      <c r="F102" s="38"/>
      <c r="G102" s="87"/>
      <c r="H102" s="87"/>
      <c r="I102" s="38"/>
      <c r="J102" s="38"/>
      <c r="K102" s="38"/>
      <c r="L102" s="38"/>
      <c r="M102" s="38"/>
    </row>
    <row r="103">
      <c r="A103" s="38"/>
      <c r="B103" s="39"/>
      <c r="C103" s="86"/>
      <c r="D103" s="41"/>
      <c r="E103" s="38"/>
      <c r="F103" s="38"/>
      <c r="G103" s="87"/>
      <c r="H103" s="87"/>
      <c r="I103" s="38"/>
      <c r="J103" s="38"/>
      <c r="K103" s="38"/>
      <c r="L103" s="38"/>
      <c r="M103" s="38"/>
    </row>
    <row r="104">
      <c r="A104" s="38"/>
      <c r="B104" s="39"/>
      <c r="C104" s="86"/>
      <c r="D104" s="41"/>
      <c r="E104" s="38"/>
      <c r="F104" s="38"/>
      <c r="G104" s="87"/>
      <c r="H104" s="87"/>
      <c r="I104" s="38"/>
      <c r="J104" s="38"/>
      <c r="K104" s="38"/>
      <c r="L104" s="38"/>
      <c r="M104" s="38"/>
    </row>
    <row r="105">
      <c r="A105" s="38"/>
      <c r="B105" s="39"/>
      <c r="C105" s="86"/>
      <c r="D105" s="41"/>
      <c r="E105" s="38"/>
      <c r="F105" s="38"/>
      <c r="G105" s="87"/>
      <c r="H105" s="87"/>
      <c r="I105" s="38"/>
      <c r="J105" s="38"/>
      <c r="K105" s="38"/>
      <c r="L105" s="38"/>
      <c r="M105" s="38"/>
    </row>
    <row r="106">
      <c r="A106" s="38"/>
      <c r="B106" s="39"/>
      <c r="C106" s="86"/>
      <c r="D106" s="41"/>
      <c r="E106" s="38"/>
      <c r="F106" s="38"/>
      <c r="G106" s="87"/>
      <c r="H106" s="87"/>
      <c r="I106" s="38"/>
      <c r="J106" s="38"/>
      <c r="K106" s="38"/>
      <c r="L106" s="38"/>
      <c r="M106" s="38"/>
    </row>
    <row r="107">
      <c r="A107" s="38"/>
      <c r="B107" s="39"/>
      <c r="C107" s="86"/>
      <c r="D107" s="41"/>
      <c r="E107" s="38"/>
      <c r="F107" s="38"/>
      <c r="G107" s="87"/>
      <c r="H107" s="87"/>
      <c r="I107" s="38"/>
      <c r="J107" s="38"/>
      <c r="K107" s="38"/>
      <c r="L107" s="38"/>
      <c r="M107" s="38"/>
    </row>
    <row r="108">
      <c r="A108" s="38"/>
      <c r="B108" s="39"/>
      <c r="C108" s="86"/>
      <c r="D108" s="41"/>
      <c r="E108" s="38"/>
      <c r="F108" s="38"/>
      <c r="G108" s="87"/>
      <c r="H108" s="87"/>
      <c r="I108" s="38"/>
      <c r="J108" s="38"/>
      <c r="K108" s="38"/>
      <c r="L108" s="38"/>
      <c r="M108" s="38"/>
    </row>
    <row r="109">
      <c r="A109" s="38"/>
      <c r="B109" s="39"/>
      <c r="C109" s="86"/>
      <c r="D109" s="41"/>
      <c r="E109" s="38"/>
      <c r="F109" s="38"/>
      <c r="G109" s="87"/>
      <c r="H109" s="87"/>
      <c r="I109" s="38"/>
      <c r="J109" s="38"/>
      <c r="K109" s="38"/>
      <c r="L109" s="38"/>
      <c r="M109" s="38"/>
    </row>
    <row r="110">
      <c r="A110" s="38"/>
      <c r="B110" s="39"/>
      <c r="C110" s="86"/>
      <c r="D110" s="41"/>
      <c r="E110" s="38"/>
      <c r="F110" s="38"/>
      <c r="G110" s="87"/>
      <c r="H110" s="87"/>
      <c r="I110" s="38"/>
      <c r="J110" s="38"/>
      <c r="K110" s="38"/>
      <c r="L110" s="38"/>
      <c r="M110" s="38"/>
    </row>
    <row r="111">
      <c r="A111" s="38"/>
      <c r="B111" s="39"/>
      <c r="C111" s="86"/>
      <c r="D111" s="41"/>
      <c r="E111" s="38"/>
      <c r="F111" s="38"/>
      <c r="G111" s="87"/>
      <c r="H111" s="87"/>
      <c r="I111" s="38"/>
      <c r="J111" s="38"/>
      <c r="K111" s="38"/>
      <c r="L111" s="38"/>
      <c r="M111" s="38"/>
    </row>
    <row r="112">
      <c r="A112" s="38"/>
      <c r="B112" s="39"/>
      <c r="C112" s="86"/>
      <c r="D112" s="41"/>
      <c r="E112" s="38"/>
      <c r="F112" s="38"/>
      <c r="G112" s="87"/>
      <c r="H112" s="87"/>
      <c r="I112" s="38"/>
      <c r="J112" s="38"/>
      <c r="K112" s="38"/>
      <c r="L112" s="38"/>
      <c r="M112" s="38"/>
    </row>
    <row r="113">
      <c r="A113" s="38"/>
      <c r="B113" s="39"/>
      <c r="C113" s="86"/>
      <c r="D113" s="41"/>
      <c r="E113" s="38"/>
      <c r="F113" s="38"/>
      <c r="G113" s="87"/>
      <c r="H113" s="87"/>
      <c r="I113" s="38"/>
      <c r="J113" s="38"/>
      <c r="K113" s="38"/>
      <c r="L113" s="38"/>
      <c r="M113" s="38"/>
    </row>
    <row r="114">
      <c r="A114" s="38"/>
      <c r="B114" s="39"/>
      <c r="C114" s="86"/>
      <c r="D114" s="41"/>
      <c r="E114" s="38"/>
      <c r="F114" s="38"/>
      <c r="G114" s="87"/>
      <c r="H114" s="87"/>
      <c r="I114" s="38"/>
      <c r="J114" s="38"/>
      <c r="K114" s="38"/>
      <c r="L114" s="38"/>
      <c r="M114" s="38"/>
    </row>
    <row r="115">
      <c r="A115" s="38"/>
      <c r="B115" s="39"/>
      <c r="C115" s="86"/>
      <c r="D115" s="41"/>
      <c r="E115" s="38"/>
      <c r="F115" s="38"/>
      <c r="G115" s="87"/>
      <c r="H115" s="87"/>
      <c r="I115" s="38"/>
      <c r="J115" s="38"/>
      <c r="K115" s="38"/>
      <c r="L115" s="38"/>
      <c r="M115" s="38"/>
    </row>
    <row r="116">
      <c r="A116" s="38"/>
      <c r="B116" s="39"/>
      <c r="C116" s="86"/>
      <c r="D116" s="41"/>
      <c r="E116" s="38"/>
      <c r="F116" s="38"/>
      <c r="G116" s="87"/>
      <c r="H116" s="87"/>
      <c r="I116" s="38"/>
      <c r="J116" s="38"/>
      <c r="K116" s="38"/>
      <c r="L116" s="38"/>
      <c r="M116" s="38"/>
    </row>
    <row r="117">
      <c r="A117" s="38"/>
      <c r="B117" s="39"/>
      <c r="C117" s="86"/>
      <c r="D117" s="41"/>
      <c r="E117" s="38"/>
      <c r="F117" s="38"/>
      <c r="G117" s="87"/>
      <c r="H117" s="87"/>
      <c r="I117" s="38"/>
      <c r="J117" s="38"/>
      <c r="K117" s="38"/>
      <c r="L117" s="38"/>
      <c r="M117" s="38"/>
    </row>
    <row r="118">
      <c r="A118" s="38"/>
      <c r="B118" s="39"/>
      <c r="C118" s="86"/>
      <c r="D118" s="41"/>
      <c r="E118" s="38"/>
      <c r="F118" s="38"/>
      <c r="G118" s="87"/>
      <c r="H118" s="87"/>
      <c r="I118" s="38"/>
      <c r="J118" s="38"/>
      <c r="K118" s="38"/>
      <c r="L118" s="38"/>
      <c r="M118" s="38"/>
    </row>
    <row r="119">
      <c r="A119" s="38"/>
      <c r="B119" s="39"/>
      <c r="C119" s="86"/>
      <c r="D119" s="41"/>
      <c r="E119" s="38"/>
      <c r="F119" s="38"/>
      <c r="G119" s="87"/>
      <c r="H119" s="87"/>
      <c r="I119" s="38"/>
      <c r="J119" s="38"/>
      <c r="K119" s="38"/>
      <c r="L119" s="38"/>
      <c r="M119" s="38"/>
    </row>
    <row r="120">
      <c r="A120" s="38"/>
      <c r="B120" s="39"/>
      <c r="C120" s="86"/>
      <c r="D120" s="41"/>
      <c r="E120" s="38"/>
      <c r="F120" s="38"/>
      <c r="G120" s="87"/>
      <c r="H120" s="87"/>
      <c r="I120" s="38"/>
      <c r="J120" s="38"/>
      <c r="K120" s="38"/>
      <c r="L120" s="38"/>
      <c r="M120" s="38"/>
    </row>
    <row r="121">
      <c r="A121" s="38"/>
      <c r="B121" s="39"/>
      <c r="C121" s="86"/>
      <c r="D121" s="41"/>
      <c r="E121" s="38"/>
      <c r="F121" s="38"/>
      <c r="G121" s="87"/>
      <c r="H121" s="87"/>
      <c r="I121" s="38"/>
      <c r="J121" s="38"/>
      <c r="K121" s="38"/>
      <c r="L121" s="38"/>
      <c r="M121" s="38"/>
    </row>
    <row r="122">
      <c r="A122" s="38"/>
      <c r="B122" s="39"/>
      <c r="C122" s="86"/>
      <c r="D122" s="41"/>
      <c r="E122" s="38"/>
      <c r="F122" s="38"/>
      <c r="G122" s="87"/>
      <c r="H122" s="87"/>
      <c r="I122" s="38"/>
      <c r="J122" s="38"/>
      <c r="K122" s="38"/>
      <c r="L122" s="38"/>
      <c r="M122" s="38"/>
    </row>
    <row r="123">
      <c r="A123" s="38"/>
      <c r="B123" s="39"/>
      <c r="C123" s="86"/>
      <c r="D123" s="41"/>
      <c r="E123" s="38"/>
      <c r="F123" s="38"/>
      <c r="G123" s="87"/>
      <c r="H123" s="87"/>
      <c r="I123" s="38"/>
      <c r="J123" s="38"/>
      <c r="K123" s="38"/>
      <c r="L123" s="38"/>
      <c r="M123" s="38"/>
    </row>
    <row r="124">
      <c r="A124" s="38"/>
      <c r="B124" s="39"/>
      <c r="C124" s="86"/>
      <c r="D124" s="41"/>
      <c r="E124" s="38"/>
      <c r="F124" s="38"/>
      <c r="G124" s="87"/>
      <c r="H124" s="87"/>
      <c r="I124" s="38"/>
      <c r="J124" s="38"/>
      <c r="K124" s="38"/>
      <c r="L124" s="38"/>
      <c r="M124" s="38"/>
    </row>
    <row r="125">
      <c r="A125" s="38"/>
      <c r="B125" s="39"/>
      <c r="C125" s="86"/>
      <c r="D125" s="41"/>
      <c r="E125" s="38"/>
      <c r="F125" s="38"/>
      <c r="G125" s="87"/>
      <c r="H125" s="87"/>
      <c r="I125" s="38"/>
      <c r="J125" s="38"/>
      <c r="K125" s="38"/>
      <c r="L125" s="38"/>
      <c r="M125" s="38"/>
    </row>
    <row r="126">
      <c r="A126" s="38"/>
      <c r="B126" s="39"/>
      <c r="C126" s="86"/>
      <c r="D126" s="41"/>
      <c r="E126" s="38"/>
      <c r="F126" s="38"/>
      <c r="G126" s="87"/>
      <c r="H126" s="87"/>
      <c r="I126" s="38"/>
      <c r="J126" s="38"/>
      <c r="K126" s="38"/>
      <c r="L126" s="38"/>
      <c r="M126" s="38"/>
    </row>
    <row r="127">
      <c r="A127" s="38"/>
      <c r="B127" s="39"/>
      <c r="C127" s="86"/>
      <c r="D127" s="41"/>
      <c r="E127" s="38"/>
      <c r="F127" s="38"/>
      <c r="G127" s="87"/>
      <c r="H127" s="87"/>
      <c r="I127" s="38"/>
      <c r="J127" s="38"/>
      <c r="K127" s="38"/>
      <c r="L127" s="38"/>
      <c r="M127" s="38"/>
    </row>
    <row r="128">
      <c r="A128" s="38"/>
      <c r="B128" s="39"/>
      <c r="C128" s="86"/>
      <c r="D128" s="41"/>
      <c r="E128" s="38"/>
      <c r="F128" s="38"/>
      <c r="G128" s="87"/>
      <c r="H128" s="87"/>
      <c r="I128" s="38"/>
      <c r="J128" s="38"/>
      <c r="K128" s="38"/>
      <c r="L128" s="38"/>
      <c r="M128" s="38"/>
    </row>
    <row r="129">
      <c r="A129" s="38"/>
      <c r="B129" s="39"/>
      <c r="C129" s="86"/>
      <c r="D129" s="41"/>
      <c r="E129" s="38"/>
      <c r="F129" s="38"/>
      <c r="G129" s="87"/>
      <c r="H129" s="87"/>
      <c r="I129" s="38"/>
      <c r="J129" s="38"/>
      <c r="K129" s="38"/>
      <c r="L129" s="38"/>
      <c r="M129" s="38"/>
    </row>
    <row r="130">
      <c r="A130" s="38"/>
      <c r="B130" s="39"/>
      <c r="C130" s="86"/>
      <c r="D130" s="41"/>
      <c r="E130" s="38"/>
      <c r="F130" s="38"/>
      <c r="G130" s="87"/>
      <c r="H130" s="87"/>
      <c r="I130" s="38"/>
      <c r="J130" s="38"/>
      <c r="K130" s="38"/>
      <c r="L130" s="38"/>
      <c r="M130" s="38"/>
    </row>
    <row r="131">
      <c r="A131" s="38"/>
      <c r="B131" s="39"/>
      <c r="C131" s="86"/>
      <c r="D131" s="41"/>
      <c r="E131" s="38"/>
      <c r="F131" s="38"/>
      <c r="G131" s="87"/>
      <c r="H131" s="87"/>
      <c r="I131" s="38"/>
      <c r="J131" s="38"/>
      <c r="K131" s="38"/>
      <c r="L131" s="38"/>
      <c r="M131" s="38"/>
    </row>
    <row r="132">
      <c r="A132" s="38"/>
      <c r="B132" s="39"/>
      <c r="C132" s="86"/>
      <c r="D132" s="41"/>
      <c r="E132" s="38"/>
      <c r="F132" s="38"/>
      <c r="G132" s="87"/>
      <c r="H132" s="87"/>
      <c r="I132" s="38"/>
      <c r="J132" s="38"/>
      <c r="K132" s="38"/>
      <c r="L132" s="38"/>
      <c r="M132" s="38"/>
    </row>
    <row r="133">
      <c r="A133" s="38"/>
      <c r="B133" s="39"/>
      <c r="C133" s="86"/>
      <c r="D133" s="41"/>
      <c r="E133" s="38"/>
      <c r="F133" s="38"/>
      <c r="G133" s="87"/>
      <c r="H133" s="87"/>
      <c r="I133" s="38"/>
      <c r="J133" s="38"/>
      <c r="K133" s="38"/>
      <c r="L133" s="38"/>
      <c r="M133" s="38"/>
    </row>
    <row r="134">
      <c r="A134" s="38"/>
      <c r="B134" s="39"/>
      <c r="C134" s="86"/>
      <c r="D134" s="41"/>
      <c r="E134" s="38"/>
      <c r="F134" s="38"/>
      <c r="G134" s="87"/>
      <c r="H134" s="87"/>
      <c r="I134" s="38"/>
      <c r="J134" s="38"/>
      <c r="K134" s="38"/>
      <c r="L134" s="38"/>
      <c r="M134" s="38"/>
    </row>
    <row r="135">
      <c r="A135" s="38"/>
      <c r="B135" s="39"/>
      <c r="C135" s="86"/>
      <c r="D135" s="41"/>
      <c r="E135" s="38"/>
      <c r="F135" s="38"/>
      <c r="G135" s="87"/>
      <c r="H135" s="87"/>
      <c r="I135" s="38"/>
      <c r="J135" s="38"/>
      <c r="K135" s="38"/>
      <c r="L135" s="38"/>
      <c r="M135" s="38"/>
    </row>
    <row r="136">
      <c r="A136" s="38"/>
      <c r="B136" s="39"/>
      <c r="C136" s="86"/>
      <c r="D136" s="41"/>
      <c r="E136" s="38"/>
      <c r="F136" s="38"/>
      <c r="G136" s="87"/>
      <c r="H136" s="87"/>
      <c r="I136" s="38"/>
      <c r="J136" s="38"/>
      <c r="K136" s="38"/>
      <c r="L136" s="38"/>
      <c r="M136" s="38"/>
    </row>
    <row r="137">
      <c r="A137" s="38"/>
      <c r="B137" s="39"/>
      <c r="C137" s="86"/>
      <c r="D137" s="41"/>
      <c r="E137" s="38"/>
      <c r="F137" s="38"/>
      <c r="G137" s="87"/>
      <c r="H137" s="87"/>
      <c r="I137" s="38"/>
      <c r="J137" s="38"/>
      <c r="K137" s="38"/>
      <c r="L137" s="38"/>
      <c r="M137" s="38"/>
    </row>
    <row r="138">
      <c r="A138" s="38"/>
      <c r="B138" s="39"/>
      <c r="C138" s="86"/>
      <c r="D138" s="41"/>
      <c r="E138" s="38"/>
      <c r="F138" s="38"/>
      <c r="G138" s="87"/>
      <c r="H138" s="87"/>
      <c r="I138" s="38"/>
      <c r="J138" s="38"/>
      <c r="K138" s="38"/>
      <c r="L138" s="38"/>
      <c r="M138" s="38"/>
    </row>
    <row r="139">
      <c r="A139" s="38"/>
      <c r="B139" s="39"/>
      <c r="C139" s="86"/>
      <c r="D139" s="41"/>
      <c r="E139" s="38"/>
      <c r="F139" s="38"/>
      <c r="G139" s="87"/>
      <c r="H139" s="87"/>
      <c r="I139" s="38"/>
      <c r="J139" s="38"/>
      <c r="K139" s="38"/>
      <c r="L139" s="38"/>
      <c r="M139" s="38"/>
    </row>
    <row r="140">
      <c r="A140" s="38"/>
      <c r="B140" s="39"/>
      <c r="C140" s="86"/>
      <c r="D140" s="41"/>
      <c r="E140" s="38"/>
      <c r="F140" s="38"/>
      <c r="G140" s="87"/>
      <c r="H140" s="87"/>
      <c r="I140" s="38"/>
      <c r="J140" s="38"/>
      <c r="K140" s="38"/>
      <c r="L140" s="38"/>
      <c r="M140" s="38"/>
    </row>
    <row r="141">
      <c r="A141" s="38"/>
      <c r="B141" s="39"/>
      <c r="C141" s="86"/>
      <c r="D141" s="41"/>
      <c r="E141" s="38"/>
      <c r="F141" s="38"/>
      <c r="G141" s="87"/>
      <c r="H141" s="87"/>
      <c r="I141" s="38"/>
      <c r="J141" s="38"/>
      <c r="K141" s="38"/>
      <c r="L141" s="38"/>
      <c r="M141" s="38"/>
    </row>
    <row r="142">
      <c r="A142" s="38"/>
      <c r="B142" s="39"/>
      <c r="C142" s="86"/>
      <c r="D142" s="41"/>
      <c r="E142" s="38"/>
      <c r="F142" s="38"/>
      <c r="G142" s="87"/>
      <c r="H142" s="87"/>
      <c r="I142" s="38"/>
      <c r="J142" s="38"/>
      <c r="K142" s="38"/>
      <c r="L142" s="38"/>
      <c r="M142" s="38"/>
    </row>
    <row r="143">
      <c r="A143" s="38"/>
      <c r="B143" s="39"/>
      <c r="C143" s="86"/>
      <c r="D143" s="41"/>
      <c r="E143" s="38"/>
      <c r="F143" s="38"/>
      <c r="G143" s="87"/>
      <c r="H143" s="87"/>
      <c r="I143" s="38"/>
      <c r="J143" s="38"/>
      <c r="K143" s="38"/>
      <c r="L143" s="38"/>
      <c r="M143" s="38"/>
    </row>
    <row r="144">
      <c r="A144" s="38"/>
      <c r="B144" s="39"/>
      <c r="C144" s="86"/>
      <c r="D144" s="41"/>
      <c r="E144" s="38"/>
      <c r="F144" s="38"/>
      <c r="G144" s="87"/>
      <c r="H144" s="87"/>
      <c r="I144" s="38"/>
      <c r="J144" s="38"/>
      <c r="K144" s="38"/>
      <c r="L144" s="38"/>
      <c r="M144" s="38"/>
    </row>
    <row r="145">
      <c r="D145" s="1"/>
      <c r="G145" s="55"/>
      <c r="H145" s="55"/>
    </row>
    <row r="146">
      <c r="D146" s="1"/>
      <c r="G146" s="55"/>
      <c r="H146" s="55"/>
    </row>
    <row r="147">
      <c r="D147" s="1"/>
      <c r="G147" s="55"/>
      <c r="H147" s="55"/>
    </row>
    <row r="148">
      <c r="D148" s="1"/>
      <c r="G148" s="55"/>
      <c r="H148" s="55"/>
    </row>
    <row r="149">
      <c r="D149" s="1"/>
      <c r="G149" s="55"/>
      <c r="H149" s="55"/>
    </row>
    <row r="150">
      <c r="D150" s="1"/>
      <c r="G150" s="55"/>
      <c r="H150" s="55"/>
    </row>
    <row r="151">
      <c r="D151" s="1"/>
      <c r="G151" s="55"/>
      <c r="H151" s="55"/>
    </row>
    <row r="152">
      <c r="D152" s="1"/>
      <c r="G152" s="55"/>
      <c r="H152" s="55"/>
    </row>
    <row r="153">
      <c r="D153" s="1"/>
      <c r="G153" s="55"/>
      <c r="H153" s="55"/>
    </row>
    <row r="154">
      <c r="D154" s="1"/>
      <c r="G154" s="55"/>
      <c r="H154" s="55"/>
    </row>
    <row r="155">
      <c r="D155" s="1"/>
      <c r="G155" s="55"/>
      <c r="H155" s="55"/>
    </row>
    <row r="156">
      <c r="D156" s="1"/>
      <c r="G156" s="55"/>
      <c r="H156" s="55"/>
    </row>
    <row r="157">
      <c r="D157" s="1"/>
      <c r="G157" s="55"/>
      <c r="H157" s="55"/>
    </row>
    <row r="158">
      <c r="D158" s="1"/>
      <c r="G158" s="55"/>
      <c r="H158" s="55"/>
    </row>
    <row r="159">
      <c r="D159" s="1"/>
      <c r="G159" s="55"/>
      <c r="H159" s="55"/>
    </row>
    <row r="160">
      <c r="D160" s="1"/>
      <c r="G160" s="55"/>
      <c r="H160" s="55"/>
    </row>
    <row r="161">
      <c r="D161" s="1"/>
      <c r="G161" s="55"/>
      <c r="H161" s="55"/>
    </row>
    <row r="162">
      <c r="D162" s="1"/>
      <c r="G162" s="55"/>
      <c r="H162" s="55"/>
    </row>
    <row r="163">
      <c r="D163" s="1"/>
      <c r="G163" s="55"/>
      <c r="H163" s="55"/>
    </row>
    <row r="164">
      <c r="D164" s="1"/>
      <c r="G164" s="55"/>
      <c r="H164" s="55"/>
    </row>
    <row r="165">
      <c r="D165" s="1"/>
      <c r="G165" s="55"/>
      <c r="H165" s="55"/>
    </row>
    <row r="166">
      <c r="D166" s="1"/>
      <c r="G166" s="55"/>
      <c r="H166" s="55"/>
    </row>
    <row r="167">
      <c r="D167" s="1"/>
      <c r="G167" s="55"/>
      <c r="H167" s="55"/>
    </row>
    <row r="168">
      <c r="D168" s="1"/>
      <c r="G168" s="55"/>
      <c r="H168" s="55"/>
    </row>
    <row r="169">
      <c r="D169" s="1"/>
      <c r="G169" s="55"/>
      <c r="H169" s="55"/>
    </row>
    <row r="170">
      <c r="D170" s="1"/>
      <c r="G170" s="55"/>
      <c r="H170" s="55"/>
    </row>
    <row r="171">
      <c r="D171" s="1"/>
      <c r="G171" s="55"/>
      <c r="H171" s="55"/>
    </row>
    <row r="172">
      <c r="D172" s="1"/>
      <c r="G172" s="55"/>
      <c r="H172" s="55"/>
    </row>
    <row r="173">
      <c r="D173" s="1"/>
      <c r="G173" s="55"/>
      <c r="H173" s="55"/>
    </row>
    <row r="174">
      <c r="D174" s="1"/>
      <c r="G174" s="55"/>
      <c r="H174" s="55"/>
    </row>
    <row r="175">
      <c r="D175" s="1"/>
      <c r="G175" s="55"/>
      <c r="H175" s="55"/>
    </row>
    <row r="176">
      <c r="D176" s="1"/>
      <c r="G176" s="55"/>
      <c r="H176" s="55"/>
    </row>
    <row r="177">
      <c r="D177" s="1"/>
      <c r="G177" s="55"/>
      <c r="H177" s="55"/>
    </row>
    <row r="178">
      <c r="D178" s="1"/>
      <c r="G178" s="55"/>
      <c r="H178" s="55"/>
    </row>
    <row r="179">
      <c r="D179" s="1"/>
      <c r="G179" s="55"/>
      <c r="H179" s="55"/>
    </row>
    <row r="180">
      <c r="D180" s="1"/>
      <c r="G180" s="55"/>
      <c r="H180" s="55"/>
    </row>
    <row r="181">
      <c r="D181" s="1"/>
      <c r="G181" s="55"/>
      <c r="H181" s="55"/>
    </row>
    <row r="182">
      <c r="D182" s="1"/>
      <c r="G182" s="55"/>
      <c r="H182" s="55"/>
    </row>
    <row r="183">
      <c r="D183" s="1"/>
      <c r="G183" s="55"/>
      <c r="H183" s="55"/>
    </row>
    <row r="184">
      <c r="D184" s="1"/>
      <c r="G184" s="55"/>
      <c r="H184" s="55"/>
    </row>
    <row r="185">
      <c r="D185" s="1"/>
      <c r="G185" s="55"/>
      <c r="H185" s="55"/>
    </row>
    <row r="186">
      <c r="D186" s="1"/>
      <c r="G186" s="55"/>
      <c r="H186" s="55"/>
    </row>
    <row r="187">
      <c r="D187" s="1"/>
      <c r="G187" s="55"/>
      <c r="H187" s="55"/>
    </row>
    <row r="188">
      <c r="D188" s="1"/>
      <c r="G188" s="55"/>
      <c r="H188" s="55"/>
    </row>
    <row r="189">
      <c r="D189" s="1"/>
      <c r="G189" s="55"/>
      <c r="H189" s="55"/>
    </row>
    <row r="190">
      <c r="D190" s="1"/>
      <c r="G190" s="55"/>
      <c r="H190" s="55"/>
    </row>
    <row r="191">
      <c r="D191" s="1"/>
      <c r="G191" s="55"/>
      <c r="H191" s="55"/>
    </row>
    <row r="192">
      <c r="D192" s="1"/>
      <c r="G192" s="55"/>
      <c r="H192" s="55"/>
    </row>
    <row r="193">
      <c r="D193" s="1"/>
      <c r="G193" s="55"/>
      <c r="H193" s="55"/>
    </row>
    <row r="194">
      <c r="D194" s="1"/>
      <c r="G194" s="55"/>
      <c r="H194" s="55"/>
    </row>
    <row r="195">
      <c r="D195" s="1"/>
      <c r="G195" s="55"/>
      <c r="H195" s="55"/>
    </row>
    <row r="196">
      <c r="D196" s="1"/>
      <c r="G196" s="55"/>
      <c r="H196" s="55"/>
    </row>
    <row r="197">
      <c r="D197" s="1"/>
      <c r="G197" s="55"/>
      <c r="H197" s="55"/>
    </row>
    <row r="198">
      <c r="D198" s="1"/>
      <c r="G198" s="55"/>
      <c r="H198" s="55"/>
    </row>
    <row r="199">
      <c r="D199" s="1"/>
      <c r="G199" s="55"/>
      <c r="H199" s="55"/>
    </row>
    <row r="200">
      <c r="D200" s="1"/>
      <c r="G200" s="55"/>
      <c r="H200" s="55"/>
    </row>
    <row r="201">
      <c r="D201" s="1"/>
      <c r="G201" s="55"/>
      <c r="H201" s="55"/>
    </row>
    <row r="202">
      <c r="D202" s="1"/>
      <c r="G202" s="55"/>
      <c r="H202" s="55"/>
    </row>
    <row r="203">
      <c r="D203" s="1"/>
      <c r="G203" s="55"/>
      <c r="H203" s="55"/>
    </row>
    <row r="204">
      <c r="D204" s="1"/>
      <c r="G204" s="55"/>
      <c r="H204" s="55"/>
    </row>
    <row r="205">
      <c r="D205" s="1"/>
      <c r="G205" s="55"/>
      <c r="H205" s="55"/>
    </row>
    <row r="206">
      <c r="D206" s="1"/>
      <c r="G206" s="55"/>
      <c r="H206" s="55"/>
    </row>
    <row r="207">
      <c r="D207" s="1"/>
      <c r="G207" s="55"/>
      <c r="H207" s="55"/>
    </row>
    <row r="208">
      <c r="D208" s="1"/>
      <c r="G208" s="55"/>
      <c r="H208" s="55"/>
    </row>
    <row r="209">
      <c r="D209" s="1"/>
      <c r="G209" s="55"/>
      <c r="H209" s="55"/>
    </row>
    <row r="210">
      <c r="D210" s="1"/>
      <c r="G210" s="55"/>
      <c r="H210" s="55"/>
    </row>
    <row r="211">
      <c r="D211" s="1"/>
      <c r="G211" s="55"/>
      <c r="H211" s="55"/>
    </row>
    <row r="212">
      <c r="D212" s="1"/>
      <c r="G212" s="55"/>
      <c r="H212" s="55"/>
    </row>
    <row r="213">
      <c r="D213" s="1"/>
      <c r="G213" s="55"/>
      <c r="H213" s="55"/>
    </row>
    <row r="214">
      <c r="D214" s="1"/>
      <c r="G214" s="55"/>
      <c r="H214" s="55"/>
    </row>
    <row r="215">
      <c r="D215" s="1"/>
      <c r="G215" s="55"/>
      <c r="H215" s="55"/>
    </row>
    <row r="216">
      <c r="D216" s="1"/>
      <c r="G216" s="55"/>
      <c r="H216" s="55"/>
    </row>
    <row r="217">
      <c r="D217" s="1"/>
      <c r="G217" s="55"/>
      <c r="H217" s="55"/>
    </row>
    <row r="218">
      <c r="D218" s="1"/>
      <c r="G218" s="55"/>
      <c r="H218" s="55"/>
    </row>
    <row r="219">
      <c r="D219" s="1"/>
      <c r="G219" s="55"/>
      <c r="H219" s="55"/>
    </row>
    <row r="220">
      <c r="D220" s="1"/>
      <c r="G220" s="55"/>
      <c r="H220" s="55"/>
    </row>
    <row r="221">
      <c r="D221" s="1"/>
      <c r="G221" s="55"/>
      <c r="H221" s="55"/>
    </row>
    <row r="222">
      <c r="D222" s="1"/>
      <c r="G222" s="55"/>
      <c r="H222" s="55"/>
    </row>
    <row r="223">
      <c r="D223" s="1"/>
      <c r="G223" s="55"/>
      <c r="H223" s="55"/>
    </row>
    <row r="224">
      <c r="D224" s="1"/>
      <c r="G224" s="55"/>
      <c r="H224" s="55"/>
    </row>
    <row r="225">
      <c r="D225" s="1"/>
      <c r="G225" s="55"/>
      <c r="H225" s="55"/>
    </row>
    <row r="226">
      <c r="D226" s="1"/>
      <c r="G226" s="55"/>
      <c r="H226" s="55"/>
    </row>
    <row r="227">
      <c r="D227" s="1"/>
      <c r="G227" s="55"/>
      <c r="H227" s="55"/>
    </row>
    <row r="228">
      <c r="D228" s="1"/>
      <c r="G228" s="55"/>
      <c r="H228" s="55"/>
    </row>
    <row r="229">
      <c r="D229" s="1"/>
      <c r="G229" s="55"/>
      <c r="H229" s="55"/>
    </row>
    <row r="230">
      <c r="D230" s="1"/>
      <c r="G230" s="55"/>
      <c r="H230" s="55"/>
    </row>
    <row r="231">
      <c r="D231" s="1"/>
      <c r="G231" s="55"/>
      <c r="H231" s="55"/>
    </row>
    <row r="232">
      <c r="D232" s="1"/>
      <c r="G232" s="55"/>
      <c r="H232" s="55"/>
    </row>
    <row r="233">
      <c r="D233" s="1"/>
      <c r="G233" s="55"/>
      <c r="H233" s="55"/>
    </row>
    <row r="234">
      <c r="D234" s="1"/>
      <c r="G234" s="55"/>
      <c r="H234" s="55"/>
    </row>
    <row r="235">
      <c r="D235" s="1"/>
      <c r="G235" s="55"/>
      <c r="H235" s="55"/>
    </row>
    <row r="236">
      <c r="D236" s="1"/>
      <c r="G236" s="55"/>
      <c r="H236" s="55"/>
    </row>
    <row r="237">
      <c r="D237" s="1"/>
      <c r="G237" s="55"/>
      <c r="H237" s="55"/>
    </row>
    <row r="238">
      <c r="D238" s="1"/>
      <c r="G238" s="55"/>
      <c r="H238" s="55"/>
    </row>
    <row r="239">
      <c r="D239" s="1"/>
      <c r="G239" s="55"/>
      <c r="H239" s="55"/>
    </row>
    <row r="240">
      <c r="D240" s="1"/>
      <c r="G240" s="55"/>
      <c r="H240" s="55"/>
    </row>
    <row r="241">
      <c r="D241" s="1"/>
      <c r="G241" s="55"/>
      <c r="H241" s="55"/>
    </row>
    <row r="242">
      <c r="D242" s="1"/>
      <c r="G242" s="55"/>
      <c r="H242" s="55"/>
    </row>
    <row r="243">
      <c r="D243" s="1"/>
      <c r="G243" s="55"/>
      <c r="H243" s="55"/>
    </row>
    <row r="244">
      <c r="D244" s="1"/>
      <c r="G244" s="55"/>
      <c r="H244" s="55"/>
    </row>
    <row r="245">
      <c r="D245" s="1"/>
      <c r="G245" s="55"/>
      <c r="H245" s="55"/>
    </row>
    <row r="246">
      <c r="D246" s="1"/>
      <c r="G246" s="55"/>
      <c r="H246" s="55"/>
    </row>
    <row r="247">
      <c r="D247" s="1"/>
      <c r="G247" s="55"/>
      <c r="H247" s="55"/>
    </row>
    <row r="248">
      <c r="D248" s="1"/>
      <c r="G248" s="55"/>
      <c r="H248" s="55"/>
    </row>
    <row r="249">
      <c r="D249" s="1"/>
      <c r="G249" s="55"/>
      <c r="H249" s="55"/>
    </row>
    <row r="250">
      <c r="D250" s="1"/>
      <c r="G250" s="55"/>
      <c r="H250" s="55"/>
    </row>
    <row r="251">
      <c r="D251" s="1"/>
      <c r="G251" s="55"/>
      <c r="H251" s="55"/>
    </row>
    <row r="252">
      <c r="D252" s="1"/>
      <c r="G252" s="55"/>
      <c r="H252" s="55"/>
    </row>
    <row r="253">
      <c r="D253" s="1"/>
      <c r="G253" s="55"/>
      <c r="H253" s="55"/>
    </row>
    <row r="254">
      <c r="D254" s="1"/>
      <c r="G254" s="55"/>
      <c r="H254" s="55"/>
    </row>
    <row r="255">
      <c r="D255" s="1"/>
      <c r="G255" s="55"/>
      <c r="H255" s="55"/>
    </row>
    <row r="256">
      <c r="D256" s="1"/>
      <c r="G256" s="55"/>
      <c r="H256" s="55"/>
    </row>
    <row r="257">
      <c r="D257" s="1"/>
      <c r="G257" s="55"/>
      <c r="H257" s="55"/>
    </row>
    <row r="258">
      <c r="D258" s="1"/>
      <c r="G258" s="55"/>
      <c r="H258" s="55"/>
    </row>
    <row r="259">
      <c r="D259" s="1"/>
      <c r="G259" s="55"/>
      <c r="H259" s="55"/>
    </row>
    <row r="260">
      <c r="D260" s="1"/>
      <c r="G260" s="55"/>
      <c r="H260" s="55"/>
    </row>
    <row r="261">
      <c r="D261" s="1"/>
      <c r="G261" s="55"/>
      <c r="H261" s="55"/>
    </row>
    <row r="262">
      <c r="D262" s="1"/>
      <c r="G262" s="55"/>
      <c r="H262" s="55"/>
    </row>
    <row r="263">
      <c r="D263" s="1"/>
      <c r="G263" s="55"/>
      <c r="H263" s="55"/>
    </row>
    <row r="264">
      <c r="D264" s="1"/>
      <c r="G264" s="55"/>
      <c r="H264" s="55"/>
    </row>
    <row r="265">
      <c r="D265" s="1"/>
      <c r="G265" s="55"/>
      <c r="H265" s="55"/>
    </row>
    <row r="266">
      <c r="D266" s="1"/>
      <c r="G266" s="55"/>
      <c r="H266" s="55"/>
    </row>
    <row r="267">
      <c r="D267" s="1"/>
      <c r="G267" s="55"/>
      <c r="H267" s="55"/>
    </row>
    <row r="268">
      <c r="D268" s="1"/>
      <c r="G268" s="55"/>
      <c r="H268" s="55"/>
    </row>
    <row r="269">
      <c r="D269" s="1"/>
      <c r="G269" s="55"/>
      <c r="H269" s="55"/>
    </row>
    <row r="270">
      <c r="D270" s="1"/>
      <c r="G270" s="55"/>
      <c r="H270" s="55"/>
    </row>
    <row r="271">
      <c r="D271" s="1"/>
      <c r="G271" s="55"/>
      <c r="H271" s="55"/>
    </row>
    <row r="272">
      <c r="D272" s="1"/>
      <c r="G272" s="55"/>
      <c r="H272" s="55"/>
    </row>
    <row r="273">
      <c r="D273" s="1"/>
      <c r="G273" s="55"/>
      <c r="H273" s="55"/>
    </row>
    <row r="274">
      <c r="D274" s="1"/>
      <c r="G274" s="55"/>
      <c r="H274" s="55"/>
    </row>
    <row r="275">
      <c r="D275" s="1"/>
      <c r="G275" s="55"/>
      <c r="H275" s="55"/>
    </row>
    <row r="276">
      <c r="D276" s="1"/>
      <c r="G276" s="55"/>
      <c r="H276" s="55"/>
    </row>
    <row r="277">
      <c r="D277" s="1"/>
      <c r="G277" s="55"/>
      <c r="H277" s="55"/>
    </row>
    <row r="278">
      <c r="D278" s="1"/>
      <c r="G278" s="55"/>
      <c r="H278" s="55"/>
    </row>
    <row r="279">
      <c r="D279" s="1"/>
      <c r="G279" s="55"/>
      <c r="H279" s="55"/>
    </row>
    <row r="280">
      <c r="D280" s="1"/>
      <c r="G280" s="55"/>
      <c r="H280" s="55"/>
    </row>
    <row r="281">
      <c r="D281" s="1"/>
      <c r="G281" s="55"/>
      <c r="H281" s="55"/>
    </row>
    <row r="282">
      <c r="D282" s="1"/>
      <c r="G282" s="55"/>
      <c r="H282" s="55"/>
    </row>
    <row r="283">
      <c r="D283" s="1"/>
      <c r="G283" s="55"/>
      <c r="H283" s="55"/>
    </row>
    <row r="284">
      <c r="D284" s="1"/>
      <c r="G284" s="55"/>
      <c r="H284" s="55"/>
    </row>
    <row r="285">
      <c r="D285" s="1"/>
      <c r="G285" s="55"/>
      <c r="H285" s="55"/>
    </row>
    <row r="286">
      <c r="D286" s="1"/>
      <c r="G286" s="55"/>
      <c r="H286" s="55"/>
    </row>
    <row r="287">
      <c r="D287" s="1"/>
      <c r="G287" s="55"/>
      <c r="H287" s="55"/>
    </row>
    <row r="288">
      <c r="D288" s="1"/>
      <c r="G288" s="55"/>
      <c r="H288" s="55"/>
    </row>
    <row r="289">
      <c r="D289" s="1"/>
      <c r="G289" s="55"/>
      <c r="H289" s="55"/>
    </row>
    <row r="290">
      <c r="D290" s="1"/>
      <c r="G290" s="55"/>
      <c r="H290" s="55"/>
    </row>
    <row r="291">
      <c r="D291" s="1"/>
      <c r="G291" s="55"/>
      <c r="H291" s="55"/>
    </row>
    <row r="292">
      <c r="D292" s="1"/>
      <c r="G292" s="55"/>
      <c r="H292" s="55"/>
    </row>
    <row r="293">
      <c r="D293" s="1"/>
      <c r="G293" s="55"/>
      <c r="H293" s="55"/>
    </row>
    <row r="294">
      <c r="D294" s="1"/>
      <c r="G294" s="55"/>
      <c r="H294" s="55"/>
    </row>
    <row r="295">
      <c r="D295" s="1"/>
      <c r="G295" s="55"/>
      <c r="H295" s="55"/>
    </row>
    <row r="296">
      <c r="D296" s="1"/>
      <c r="G296" s="55"/>
      <c r="H296" s="55"/>
    </row>
    <row r="297">
      <c r="D297" s="1"/>
      <c r="G297" s="55"/>
      <c r="H297" s="55"/>
    </row>
    <row r="298">
      <c r="D298" s="1"/>
      <c r="G298" s="55"/>
      <c r="H298" s="55"/>
    </row>
    <row r="299">
      <c r="D299" s="1"/>
      <c r="G299" s="55"/>
      <c r="H299" s="55"/>
    </row>
    <row r="300">
      <c r="D300" s="1"/>
      <c r="G300" s="55"/>
      <c r="H300" s="55"/>
    </row>
    <row r="301">
      <c r="D301" s="1"/>
      <c r="G301" s="55"/>
      <c r="H301" s="55"/>
    </row>
    <row r="302">
      <c r="D302" s="1"/>
      <c r="G302" s="55"/>
      <c r="H302" s="55"/>
    </row>
    <row r="303">
      <c r="D303" s="1"/>
      <c r="G303" s="55"/>
      <c r="H303" s="55"/>
    </row>
    <row r="304">
      <c r="D304" s="1"/>
      <c r="G304" s="55"/>
      <c r="H304" s="55"/>
    </row>
    <row r="305">
      <c r="D305" s="1"/>
      <c r="G305" s="55"/>
      <c r="H305" s="55"/>
    </row>
    <row r="306">
      <c r="D306" s="1"/>
      <c r="G306" s="55"/>
      <c r="H306" s="55"/>
    </row>
    <row r="307">
      <c r="D307" s="1"/>
      <c r="G307" s="55"/>
      <c r="H307" s="55"/>
    </row>
    <row r="308">
      <c r="D308" s="1"/>
      <c r="G308" s="55"/>
      <c r="H308" s="55"/>
    </row>
    <row r="309">
      <c r="D309" s="1"/>
      <c r="G309" s="55"/>
      <c r="H309" s="55"/>
    </row>
    <row r="310">
      <c r="D310" s="1"/>
      <c r="G310" s="55"/>
      <c r="H310" s="55"/>
    </row>
    <row r="311">
      <c r="D311" s="1"/>
      <c r="G311" s="55"/>
      <c r="H311" s="55"/>
    </row>
    <row r="312">
      <c r="D312" s="1"/>
      <c r="G312" s="55"/>
      <c r="H312" s="55"/>
    </row>
    <row r="313">
      <c r="D313" s="1"/>
      <c r="G313" s="55"/>
      <c r="H313" s="55"/>
    </row>
    <row r="314">
      <c r="D314" s="1"/>
      <c r="G314" s="55"/>
      <c r="H314" s="55"/>
    </row>
    <row r="315">
      <c r="D315" s="1"/>
      <c r="G315" s="55"/>
      <c r="H315" s="55"/>
    </row>
    <row r="316">
      <c r="D316" s="1"/>
      <c r="G316" s="55"/>
      <c r="H316" s="55"/>
    </row>
    <row r="317">
      <c r="D317" s="1"/>
      <c r="G317" s="55"/>
      <c r="H317" s="55"/>
    </row>
    <row r="318">
      <c r="D318" s="1"/>
      <c r="G318" s="55"/>
      <c r="H318" s="55"/>
    </row>
    <row r="319">
      <c r="D319" s="1"/>
      <c r="G319" s="55"/>
      <c r="H319" s="55"/>
    </row>
    <row r="320">
      <c r="D320" s="1"/>
      <c r="G320" s="55"/>
      <c r="H320" s="55"/>
    </row>
    <row r="321">
      <c r="D321" s="1"/>
      <c r="G321" s="55"/>
      <c r="H321" s="55"/>
    </row>
    <row r="322">
      <c r="D322" s="1"/>
      <c r="G322" s="55"/>
      <c r="H322" s="55"/>
    </row>
    <row r="323">
      <c r="D323" s="1"/>
      <c r="G323" s="55"/>
      <c r="H323" s="55"/>
    </row>
    <row r="324">
      <c r="D324" s="1"/>
      <c r="G324" s="55"/>
      <c r="H324" s="55"/>
    </row>
    <row r="325">
      <c r="D325" s="1"/>
      <c r="G325" s="55"/>
      <c r="H325" s="55"/>
    </row>
    <row r="326">
      <c r="D326" s="1"/>
      <c r="G326" s="55"/>
      <c r="H326" s="55"/>
    </row>
    <row r="327">
      <c r="D327" s="1"/>
      <c r="G327" s="55"/>
      <c r="H327" s="55"/>
    </row>
    <row r="328">
      <c r="D328" s="1"/>
      <c r="G328" s="55"/>
      <c r="H328" s="55"/>
    </row>
    <row r="329">
      <c r="D329" s="1"/>
      <c r="G329" s="55"/>
      <c r="H329" s="55"/>
    </row>
    <row r="330">
      <c r="D330" s="1"/>
      <c r="G330" s="55"/>
      <c r="H330" s="55"/>
    </row>
    <row r="331">
      <c r="D331" s="1"/>
      <c r="G331" s="55"/>
      <c r="H331" s="55"/>
    </row>
    <row r="332">
      <c r="D332" s="1"/>
      <c r="G332" s="55"/>
      <c r="H332" s="55"/>
    </row>
    <row r="333">
      <c r="D333" s="1"/>
      <c r="G333" s="55"/>
      <c r="H333" s="55"/>
    </row>
    <row r="334">
      <c r="D334" s="1"/>
      <c r="G334" s="55"/>
      <c r="H334" s="55"/>
    </row>
    <row r="335">
      <c r="D335" s="1"/>
      <c r="G335" s="55"/>
      <c r="H335" s="55"/>
    </row>
    <row r="336">
      <c r="D336" s="1"/>
      <c r="G336" s="55"/>
      <c r="H336" s="55"/>
    </row>
    <row r="337">
      <c r="D337" s="1"/>
      <c r="G337" s="55"/>
      <c r="H337" s="55"/>
    </row>
    <row r="338">
      <c r="D338" s="1"/>
      <c r="G338" s="55"/>
      <c r="H338" s="55"/>
    </row>
    <row r="339">
      <c r="D339" s="1"/>
      <c r="G339" s="55"/>
      <c r="H339" s="55"/>
    </row>
    <row r="340">
      <c r="D340" s="1"/>
      <c r="G340" s="55"/>
      <c r="H340" s="55"/>
    </row>
    <row r="341">
      <c r="D341" s="1"/>
      <c r="G341" s="55"/>
      <c r="H341" s="55"/>
    </row>
    <row r="342">
      <c r="D342" s="1"/>
      <c r="G342" s="55"/>
      <c r="H342" s="55"/>
    </row>
    <row r="343">
      <c r="D343" s="1"/>
      <c r="G343" s="55"/>
      <c r="H343" s="55"/>
    </row>
    <row r="344">
      <c r="D344" s="1"/>
      <c r="G344" s="55"/>
      <c r="H344" s="55"/>
    </row>
    <row r="345">
      <c r="D345" s="1"/>
      <c r="G345" s="55"/>
      <c r="H345" s="55"/>
    </row>
    <row r="346">
      <c r="D346" s="1"/>
      <c r="G346" s="55"/>
      <c r="H346" s="55"/>
    </row>
    <row r="347">
      <c r="D347" s="1"/>
      <c r="G347" s="55"/>
      <c r="H347" s="55"/>
    </row>
    <row r="348">
      <c r="D348" s="1"/>
      <c r="G348" s="55"/>
      <c r="H348" s="55"/>
    </row>
    <row r="349">
      <c r="D349" s="1"/>
      <c r="G349" s="55"/>
      <c r="H349" s="55"/>
    </row>
    <row r="350">
      <c r="D350" s="1"/>
      <c r="G350" s="55"/>
      <c r="H350" s="55"/>
    </row>
    <row r="351">
      <c r="D351" s="1"/>
      <c r="G351" s="55"/>
      <c r="H351" s="55"/>
    </row>
    <row r="352">
      <c r="D352" s="1"/>
      <c r="G352" s="55"/>
      <c r="H352" s="55"/>
    </row>
    <row r="353">
      <c r="D353" s="1"/>
      <c r="G353" s="55"/>
      <c r="H353" s="55"/>
    </row>
    <row r="354">
      <c r="D354" s="1"/>
      <c r="G354" s="55"/>
      <c r="H354" s="55"/>
    </row>
    <row r="355">
      <c r="D355" s="1"/>
      <c r="G355" s="55"/>
      <c r="H355" s="55"/>
    </row>
    <row r="356">
      <c r="D356" s="1"/>
      <c r="G356" s="55"/>
      <c r="H356" s="55"/>
    </row>
    <row r="357">
      <c r="D357" s="1"/>
      <c r="G357" s="55"/>
      <c r="H357" s="55"/>
    </row>
    <row r="358">
      <c r="D358" s="1"/>
      <c r="G358" s="55"/>
      <c r="H358" s="55"/>
    </row>
    <row r="359">
      <c r="D359" s="1"/>
      <c r="G359" s="55"/>
      <c r="H359" s="55"/>
    </row>
    <row r="360">
      <c r="D360" s="1"/>
      <c r="G360" s="55"/>
      <c r="H360" s="55"/>
    </row>
    <row r="361">
      <c r="D361" s="1"/>
      <c r="G361" s="55"/>
      <c r="H361" s="55"/>
    </row>
    <row r="362">
      <c r="D362" s="1"/>
      <c r="G362" s="55"/>
      <c r="H362" s="55"/>
    </row>
    <row r="363">
      <c r="D363" s="1"/>
      <c r="G363" s="55"/>
      <c r="H363" s="55"/>
    </row>
    <row r="364">
      <c r="D364" s="1"/>
      <c r="G364" s="55"/>
      <c r="H364" s="55"/>
    </row>
    <row r="365">
      <c r="D365" s="1"/>
      <c r="G365" s="55"/>
      <c r="H365" s="55"/>
    </row>
    <row r="366">
      <c r="D366" s="1"/>
      <c r="G366" s="55"/>
      <c r="H366" s="55"/>
    </row>
    <row r="367">
      <c r="D367" s="1"/>
      <c r="G367" s="55"/>
      <c r="H367" s="55"/>
    </row>
    <row r="368">
      <c r="D368" s="1"/>
      <c r="G368" s="55"/>
      <c r="H368" s="55"/>
    </row>
    <row r="369">
      <c r="D369" s="1"/>
      <c r="G369" s="55"/>
      <c r="H369" s="55"/>
    </row>
    <row r="370">
      <c r="D370" s="1"/>
      <c r="G370" s="55"/>
      <c r="H370" s="55"/>
    </row>
    <row r="371">
      <c r="D371" s="1"/>
      <c r="G371" s="55"/>
      <c r="H371" s="55"/>
    </row>
    <row r="372">
      <c r="D372" s="1"/>
      <c r="G372" s="55"/>
      <c r="H372" s="55"/>
    </row>
    <row r="373">
      <c r="D373" s="1"/>
      <c r="G373" s="55"/>
      <c r="H373" s="55"/>
    </row>
    <row r="374">
      <c r="D374" s="1"/>
      <c r="G374" s="55"/>
      <c r="H374" s="55"/>
    </row>
    <row r="375">
      <c r="D375" s="1"/>
      <c r="G375" s="55"/>
      <c r="H375" s="55"/>
    </row>
    <row r="376">
      <c r="D376" s="1"/>
      <c r="G376" s="55"/>
      <c r="H376" s="55"/>
    </row>
    <row r="377">
      <c r="D377" s="1"/>
      <c r="G377" s="55"/>
      <c r="H377" s="55"/>
    </row>
    <row r="378">
      <c r="D378" s="1"/>
      <c r="G378" s="55"/>
      <c r="H378" s="55"/>
    </row>
    <row r="379">
      <c r="D379" s="1"/>
      <c r="G379" s="55"/>
      <c r="H379" s="55"/>
    </row>
    <row r="380">
      <c r="D380" s="1"/>
      <c r="G380" s="55"/>
      <c r="H380" s="55"/>
    </row>
    <row r="381">
      <c r="D381" s="1"/>
      <c r="G381" s="55"/>
      <c r="H381" s="55"/>
    </row>
    <row r="382">
      <c r="D382" s="1"/>
      <c r="G382" s="55"/>
      <c r="H382" s="55"/>
    </row>
    <row r="383">
      <c r="D383" s="1"/>
      <c r="G383" s="55"/>
      <c r="H383" s="55"/>
    </row>
    <row r="384">
      <c r="D384" s="1"/>
      <c r="G384" s="55"/>
      <c r="H384" s="55"/>
    </row>
    <row r="385">
      <c r="D385" s="1"/>
      <c r="G385" s="55"/>
      <c r="H385" s="55"/>
    </row>
    <row r="386">
      <c r="D386" s="1"/>
      <c r="G386" s="55"/>
      <c r="H386" s="55"/>
    </row>
    <row r="387">
      <c r="D387" s="1"/>
      <c r="G387" s="55"/>
      <c r="H387" s="55"/>
    </row>
    <row r="388">
      <c r="D388" s="1"/>
      <c r="G388" s="55"/>
      <c r="H388" s="55"/>
    </row>
    <row r="389">
      <c r="D389" s="1"/>
      <c r="G389" s="55"/>
      <c r="H389" s="55"/>
    </row>
    <row r="390">
      <c r="D390" s="1"/>
      <c r="G390" s="55"/>
      <c r="H390" s="55"/>
    </row>
    <row r="391">
      <c r="D391" s="1"/>
      <c r="G391" s="55"/>
      <c r="H391" s="55"/>
    </row>
    <row r="392">
      <c r="D392" s="1"/>
      <c r="G392" s="55"/>
      <c r="H392" s="55"/>
    </row>
    <row r="393">
      <c r="D393" s="1"/>
      <c r="G393" s="55"/>
      <c r="H393" s="55"/>
    </row>
    <row r="394">
      <c r="D394" s="1"/>
      <c r="G394" s="55"/>
      <c r="H394" s="55"/>
    </row>
    <row r="395">
      <c r="D395" s="1"/>
      <c r="G395" s="55"/>
      <c r="H395" s="55"/>
    </row>
    <row r="396">
      <c r="D396" s="1"/>
      <c r="G396" s="55"/>
      <c r="H396" s="55"/>
    </row>
    <row r="397">
      <c r="D397" s="1"/>
      <c r="G397" s="55"/>
      <c r="H397" s="55"/>
    </row>
    <row r="398">
      <c r="D398" s="1"/>
      <c r="G398" s="55"/>
      <c r="H398" s="55"/>
    </row>
    <row r="399">
      <c r="D399" s="1"/>
      <c r="G399" s="55"/>
      <c r="H399" s="55"/>
    </row>
    <row r="400">
      <c r="D400" s="1"/>
      <c r="G400" s="55"/>
      <c r="H400" s="55"/>
    </row>
    <row r="401">
      <c r="D401" s="1"/>
      <c r="G401" s="55"/>
      <c r="H401" s="55"/>
    </row>
    <row r="402">
      <c r="D402" s="1"/>
      <c r="G402" s="55"/>
      <c r="H402" s="55"/>
    </row>
    <row r="403">
      <c r="D403" s="1"/>
      <c r="G403" s="55"/>
      <c r="H403" s="55"/>
    </row>
    <row r="404">
      <c r="D404" s="1"/>
      <c r="G404" s="55"/>
      <c r="H404" s="55"/>
    </row>
    <row r="405">
      <c r="D405" s="1"/>
      <c r="G405" s="55"/>
      <c r="H405" s="55"/>
    </row>
    <row r="406">
      <c r="D406" s="1"/>
      <c r="G406" s="55"/>
      <c r="H406" s="55"/>
    </row>
    <row r="407">
      <c r="D407" s="1"/>
      <c r="G407" s="55"/>
      <c r="H407" s="55"/>
    </row>
    <row r="408">
      <c r="D408" s="1"/>
      <c r="G408" s="55"/>
      <c r="H408" s="55"/>
    </row>
    <row r="409">
      <c r="D409" s="1"/>
      <c r="G409" s="55"/>
      <c r="H409" s="55"/>
    </row>
    <row r="410">
      <c r="D410" s="1"/>
      <c r="G410" s="55"/>
      <c r="H410" s="55"/>
    </row>
    <row r="411">
      <c r="D411" s="1"/>
      <c r="G411" s="55"/>
      <c r="H411" s="55"/>
    </row>
    <row r="412">
      <c r="D412" s="1"/>
      <c r="G412" s="55"/>
      <c r="H412" s="55"/>
    </row>
    <row r="413">
      <c r="D413" s="1"/>
      <c r="G413" s="55"/>
      <c r="H413" s="55"/>
    </row>
    <row r="414">
      <c r="D414" s="1"/>
      <c r="G414" s="55"/>
      <c r="H414" s="55"/>
    </row>
    <row r="415">
      <c r="D415" s="1"/>
      <c r="G415" s="55"/>
      <c r="H415" s="55"/>
    </row>
    <row r="416">
      <c r="D416" s="1"/>
      <c r="G416" s="55"/>
      <c r="H416" s="55"/>
    </row>
    <row r="417">
      <c r="D417" s="1"/>
      <c r="G417" s="55"/>
      <c r="H417" s="55"/>
    </row>
    <row r="418">
      <c r="D418" s="1"/>
      <c r="G418" s="55"/>
      <c r="H418" s="55"/>
    </row>
    <row r="419">
      <c r="D419" s="1"/>
      <c r="G419" s="55"/>
      <c r="H419" s="55"/>
    </row>
    <row r="420">
      <c r="D420" s="1"/>
      <c r="G420" s="55"/>
      <c r="H420" s="55"/>
    </row>
    <row r="421">
      <c r="D421" s="1"/>
      <c r="G421" s="55"/>
      <c r="H421" s="55"/>
    </row>
    <row r="422">
      <c r="D422" s="1"/>
      <c r="G422" s="55"/>
      <c r="H422" s="55"/>
    </row>
    <row r="423">
      <c r="D423" s="1"/>
      <c r="G423" s="55"/>
      <c r="H423" s="55"/>
    </row>
    <row r="424">
      <c r="D424" s="1"/>
      <c r="G424" s="55"/>
      <c r="H424" s="55"/>
    </row>
    <row r="425">
      <c r="D425" s="1"/>
      <c r="G425" s="55"/>
      <c r="H425" s="55"/>
    </row>
    <row r="426">
      <c r="D426" s="1"/>
      <c r="G426" s="55"/>
      <c r="H426" s="55"/>
    </row>
    <row r="427">
      <c r="D427" s="1"/>
      <c r="G427" s="55"/>
      <c r="H427" s="55"/>
    </row>
    <row r="428">
      <c r="D428" s="1"/>
      <c r="G428" s="55"/>
      <c r="H428" s="55"/>
    </row>
    <row r="429">
      <c r="D429" s="1"/>
      <c r="G429" s="55"/>
      <c r="H429" s="55"/>
    </row>
    <row r="430">
      <c r="D430" s="1"/>
      <c r="G430" s="55"/>
      <c r="H430" s="55"/>
    </row>
    <row r="431">
      <c r="D431" s="1"/>
      <c r="G431" s="55"/>
      <c r="H431" s="55"/>
    </row>
    <row r="432">
      <c r="D432" s="1"/>
      <c r="G432" s="55"/>
      <c r="H432" s="55"/>
    </row>
    <row r="433">
      <c r="D433" s="1"/>
      <c r="G433" s="55"/>
      <c r="H433" s="55"/>
    </row>
    <row r="434">
      <c r="D434" s="1"/>
      <c r="G434" s="55"/>
      <c r="H434" s="55"/>
    </row>
    <row r="435">
      <c r="D435" s="1"/>
      <c r="G435" s="55"/>
      <c r="H435" s="55"/>
    </row>
    <row r="436">
      <c r="D436" s="1"/>
      <c r="G436" s="55"/>
      <c r="H436" s="55"/>
    </row>
    <row r="437">
      <c r="D437" s="1"/>
      <c r="G437" s="55"/>
      <c r="H437" s="55"/>
    </row>
    <row r="438">
      <c r="D438" s="1"/>
      <c r="G438" s="55"/>
      <c r="H438" s="55"/>
    </row>
    <row r="439">
      <c r="D439" s="1"/>
      <c r="G439" s="55"/>
      <c r="H439" s="55"/>
    </row>
    <row r="440">
      <c r="D440" s="1"/>
      <c r="G440" s="55"/>
      <c r="H440" s="55"/>
    </row>
    <row r="441">
      <c r="D441" s="1"/>
      <c r="G441" s="55"/>
      <c r="H441" s="55"/>
    </row>
    <row r="442">
      <c r="D442" s="1"/>
      <c r="G442" s="55"/>
      <c r="H442" s="55"/>
    </row>
    <row r="443">
      <c r="D443" s="1"/>
      <c r="G443" s="55"/>
      <c r="H443" s="55"/>
    </row>
    <row r="444">
      <c r="D444" s="1"/>
      <c r="G444" s="55"/>
      <c r="H444" s="55"/>
    </row>
    <row r="445">
      <c r="D445" s="1"/>
      <c r="G445" s="55"/>
      <c r="H445" s="55"/>
    </row>
    <row r="446">
      <c r="D446" s="1"/>
      <c r="G446" s="55"/>
      <c r="H446" s="55"/>
    </row>
    <row r="447">
      <c r="D447" s="1"/>
      <c r="G447" s="55"/>
      <c r="H447" s="55"/>
    </row>
    <row r="448">
      <c r="D448" s="1"/>
      <c r="G448" s="55"/>
      <c r="H448" s="55"/>
    </row>
    <row r="449">
      <c r="D449" s="1"/>
      <c r="G449" s="55"/>
      <c r="H449" s="55"/>
    </row>
    <row r="450">
      <c r="D450" s="1"/>
      <c r="G450" s="55"/>
      <c r="H450" s="55"/>
    </row>
    <row r="451">
      <c r="D451" s="1"/>
      <c r="G451" s="55"/>
      <c r="H451" s="55"/>
    </row>
    <row r="452">
      <c r="D452" s="1"/>
      <c r="G452" s="55"/>
      <c r="H452" s="55"/>
    </row>
    <row r="453">
      <c r="D453" s="1"/>
      <c r="G453" s="55"/>
      <c r="H453" s="55"/>
    </row>
    <row r="454">
      <c r="D454" s="1"/>
      <c r="G454" s="55"/>
      <c r="H454" s="55"/>
    </row>
    <row r="455">
      <c r="D455" s="1"/>
      <c r="G455" s="55"/>
      <c r="H455" s="55"/>
    </row>
    <row r="456">
      <c r="D456" s="1"/>
      <c r="G456" s="55"/>
      <c r="H456" s="55"/>
    </row>
    <row r="457">
      <c r="D457" s="1"/>
      <c r="G457" s="55"/>
      <c r="H457" s="55"/>
    </row>
    <row r="458">
      <c r="D458" s="1"/>
      <c r="G458" s="55"/>
      <c r="H458" s="55"/>
    </row>
    <row r="459">
      <c r="D459" s="1"/>
      <c r="G459" s="55"/>
      <c r="H459" s="55"/>
    </row>
    <row r="460">
      <c r="D460" s="1"/>
      <c r="G460" s="55"/>
      <c r="H460" s="55"/>
    </row>
    <row r="461">
      <c r="D461" s="1"/>
      <c r="G461" s="55"/>
      <c r="H461" s="55"/>
    </row>
    <row r="462">
      <c r="D462" s="1"/>
      <c r="G462" s="55"/>
      <c r="H462" s="55"/>
    </row>
    <row r="463">
      <c r="D463" s="1"/>
      <c r="G463" s="55"/>
      <c r="H463" s="55"/>
    </row>
    <row r="464">
      <c r="D464" s="1"/>
      <c r="G464" s="55"/>
      <c r="H464" s="55"/>
    </row>
    <row r="465">
      <c r="D465" s="1"/>
      <c r="G465" s="55"/>
      <c r="H465" s="55"/>
    </row>
    <row r="466">
      <c r="D466" s="1"/>
      <c r="G466" s="55"/>
      <c r="H466" s="55"/>
    </row>
    <row r="467">
      <c r="D467" s="1"/>
      <c r="G467" s="55"/>
      <c r="H467" s="55"/>
    </row>
    <row r="468">
      <c r="D468" s="1"/>
      <c r="G468" s="55"/>
      <c r="H468" s="55"/>
    </row>
    <row r="469">
      <c r="D469" s="1"/>
      <c r="G469" s="55"/>
      <c r="H469" s="55"/>
    </row>
    <row r="470">
      <c r="D470" s="1"/>
      <c r="G470" s="55"/>
      <c r="H470" s="55"/>
    </row>
    <row r="471">
      <c r="D471" s="1"/>
      <c r="G471" s="55"/>
      <c r="H471" s="55"/>
    </row>
    <row r="472">
      <c r="D472" s="1"/>
      <c r="G472" s="55"/>
      <c r="H472" s="55"/>
    </row>
    <row r="473">
      <c r="D473" s="1"/>
      <c r="G473" s="55"/>
      <c r="H473" s="55"/>
    </row>
    <row r="474">
      <c r="D474" s="1"/>
      <c r="G474" s="55"/>
      <c r="H474" s="55"/>
    </row>
    <row r="475">
      <c r="D475" s="1"/>
      <c r="G475" s="55"/>
      <c r="H475" s="55"/>
    </row>
    <row r="476">
      <c r="D476" s="1"/>
      <c r="G476" s="55"/>
      <c r="H476" s="55"/>
    </row>
    <row r="477">
      <c r="D477" s="1"/>
      <c r="G477" s="55"/>
      <c r="H477" s="55"/>
    </row>
    <row r="478">
      <c r="D478" s="1"/>
      <c r="G478" s="55"/>
      <c r="H478" s="55"/>
    </row>
    <row r="479">
      <c r="D479" s="1"/>
      <c r="G479" s="55"/>
      <c r="H479" s="55"/>
    </row>
    <row r="480">
      <c r="D480" s="1"/>
      <c r="G480" s="55"/>
      <c r="H480" s="55"/>
    </row>
    <row r="481">
      <c r="D481" s="1"/>
      <c r="G481" s="55"/>
      <c r="H481" s="55"/>
    </row>
    <row r="482">
      <c r="D482" s="1"/>
      <c r="G482" s="55"/>
      <c r="H482" s="55"/>
    </row>
    <row r="483">
      <c r="D483" s="1"/>
      <c r="G483" s="55"/>
      <c r="H483" s="55"/>
    </row>
    <row r="484">
      <c r="D484" s="1"/>
      <c r="G484" s="55"/>
      <c r="H484" s="55"/>
    </row>
    <row r="485">
      <c r="D485" s="1"/>
      <c r="G485" s="55"/>
      <c r="H485" s="55"/>
    </row>
    <row r="486">
      <c r="D486" s="1"/>
      <c r="G486" s="55"/>
      <c r="H486" s="55"/>
    </row>
    <row r="487">
      <c r="D487" s="1"/>
      <c r="G487" s="55"/>
      <c r="H487" s="55"/>
    </row>
    <row r="488">
      <c r="D488" s="1"/>
      <c r="G488" s="55"/>
      <c r="H488" s="55"/>
    </row>
    <row r="489">
      <c r="D489" s="1"/>
      <c r="G489" s="55"/>
      <c r="H489" s="55"/>
    </row>
    <row r="490">
      <c r="D490" s="1"/>
      <c r="G490" s="55"/>
      <c r="H490" s="55"/>
    </row>
    <row r="491">
      <c r="D491" s="1"/>
      <c r="G491" s="55"/>
      <c r="H491" s="55"/>
    </row>
    <row r="492">
      <c r="D492" s="1"/>
      <c r="G492" s="55"/>
      <c r="H492" s="55"/>
    </row>
    <row r="493">
      <c r="D493" s="1"/>
      <c r="G493" s="55"/>
      <c r="H493" s="55"/>
    </row>
    <row r="494">
      <c r="D494" s="1"/>
      <c r="G494" s="55"/>
      <c r="H494" s="55"/>
    </row>
    <row r="495">
      <c r="D495" s="1"/>
      <c r="G495" s="55"/>
      <c r="H495" s="55"/>
    </row>
    <row r="496">
      <c r="D496" s="1"/>
      <c r="G496" s="55"/>
      <c r="H496" s="55"/>
    </row>
    <row r="497">
      <c r="D497" s="1"/>
      <c r="G497" s="55"/>
      <c r="H497" s="55"/>
    </row>
    <row r="498">
      <c r="D498" s="1"/>
      <c r="G498" s="55"/>
      <c r="H498" s="55"/>
    </row>
    <row r="499">
      <c r="D499" s="1"/>
      <c r="G499" s="55"/>
      <c r="H499" s="55"/>
    </row>
    <row r="500">
      <c r="D500" s="1"/>
      <c r="G500" s="55"/>
      <c r="H500" s="55"/>
    </row>
    <row r="501">
      <c r="D501" s="1"/>
      <c r="G501" s="55"/>
      <c r="H501" s="55"/>
    </row>
    <row r="502">
      <c r="D502" s="1"/>
      <c r="G502" s="55"/>
      <c r="H502" s="55"/>
    </row>
    <row r="503">
      <c r="D503" s="1"/>
      <c r="G503" s="55"/>
      <c r="H503" s="55"/>
    </row>
    <row r="504">
      <c r="D504" s="1"/>
      <c r="G504" s="55"/>
      <c r="H504" s="55"/>
    </row>
    <row r="505">
      <c r="D505" s="1"/>
      <c r="G505" s="55"/>
      <c r="H505" s="55"/>
    </row>
    <row r="506">
      <c r="D506" s="1"/>
      <c r="G506" s="55"/>
      <c r="H506" s="55"/>
    </row>
    <row r="507">
      <c r="D507" s="1"/>
      <c r="G507" s="55"/>
      <c r="H507" s="55"/>
    </row>
    <row r="508">
      <c r="D508" s="1"/>
      <c r="G508" s="55"/>
      <c r="H508" s="55"/>
    </row>
    <row r="509">
      <c r="D509" s="1"/>
      <c r="G509" s="55"/>
      <c r="H509" s="55"/>
    </row>
    <row r="510">
      <c r="D510" s="1"/>
      <c r="G510" s="55"/>
      <c r="H510" s="55"/>
    </row>
    <row r="511">
      <c r="D511" s="1"/>
      <c r="G511" s="55"/>
      <c r="H511" s="55"/>
    </row>
    <row r="512">
      <c r="D512" s="1"/>
      <c r="G512" s="55"/>
      <c r="H512" s="55"/>
    </row>
    <row r="513">
      <c r="D513" s="1"/>
      <c r="G513" s="55"/>
      <c r="H513" s="55"/>
    </row>
    <row r="514">
      <c r="D514" s="1"/>
      <c r="G514" s="55"/>
      <c r="H514" s="55"/>
    </row>
    <row r="515">
      <c r="D515" s="1"/>
      <c r="G515" s="55"/>
      <c r="H515" s="55"/>
    </row>
    <row r="516">
      <c r="D516" s="1"/>
      <c r="G516" s="55"/>
      <c r="H516" s="55"/>
    </row>
    <row r="517">
      <c r="D517" s="1"/>
      <c r="G517" s="55"/>
      <c r="H517" s="55"/>
    </row>
    <row r="518">
      <c r="D518" s="1"/>
      <c r="G518" s="55"/>
      <c r="H518" s="55"/>
    </row>
    <row r="519">
      <c r="D519" s="1"/>
      <c r="G519" s="55"/>
      <c r="H519" s="55"/>
    </row>
    <row r="520">
      <c r="D520" s="1"/>
      <c r="G520" s="55"/>
      <c r="H520" s="55"/>
    </row>
    <row r="521">
      <c r="D521" s="1"/>
      <c r="G521" s="55"/>
      <c r="H521" s="55"/>
    </row>
    <row r="522">
      <c r="D522" s="1"/>
      <c r="G522" s="55"/>
      <c r="H522" s="55"/>
    </row>
    <row r="523">
      <c r="D523" s="1"/>
      <c r="G523" s="55"/>
      <c r="H523" s="55"/>
    </row>
    <row r="524">
      <c r="D524" s="1"/>
      <c r="G524" s="55"/>
      <c r="H524" s="55"/>
    </row>
    <row r="525">
      <c r="D525" s="1"/>
      <c r="G525" s="55"/>
      <c r="H525" s="55"/>
    </row>
    <row r="526">
      <c r="D526" s="1"/>
      <c r="G526" s="55"/>
      <c r="H526" s="55"/>
    </row>
    <row r="527">
      <c r="D527" s="1"/>
      <c r="G527" s="55"/>
      <c r="H527" s="55"/>
    </row>
    <row r="528">
      <c r="D528" s="1"/>
      <c r="G528" s="55"/>
      <c r="H528" s="55"/>
    </row>
    <row r="529">
      <c r="D529" s="1"/>
      <c r="G529" s="55"/>
      <c r="H529" s="55"/>
    </row>
    <row r="530">
      <c r="D530" s="1"/>
      <c r="G530" s="55"/>
      <c r="H530" s="55"/>
    </row>
    <row r="531">
      <c r="D531" s="1"/>
      <c r="G531" s="55"/>
      <c r="H531" s="55"/>
    </row>
    <row r="532">
      <c r="D532" s="1"/>
      <c r="G532" s="55"/>
      <c r="H532" s="55"/>
    </row>
    <row r="533">
      <c r="D533" s="1"/>
      <c r="G533" s="55"/>
      <c r="H533" s="55"/>
    </row>
    <row r="534">
      <c r="D534" s="1"/>
      <c r="G534" s="55"/>
      <c r="H534" s="55"/>
    </row>
    <row r="535">
      <c r="D535" s="1"/>
      <c r="G535" s="55"/>
      <c r="H535" s="55"/>
    </row>
    <row r="536">
      <c r="D536" s="1"/>
      <c r="G536" s="55"/>
      <c r="H536" s="55"/>
    </row>
    <row r="537">
      <c r="D537" s="1"/>
      <c r="G537" s="55"/>
      <c r="H537" s="55"/>
    </row>
    <row r="538">
      <c r="D538" s="1"/>
      <c r="G538" s="55"/>
      <c r="H538" s="55"/>
    </row>
    <row r="539">
      <c r="D539" s="1"/>
      <c r="G539" s="55"/>
      <c r="H539" s="55"/>
    </row>
    <row r="540">
      <c r="D540" s="1"/>
      <c r="G540" s="55"/>
      <c r="H540" s="55"/>
    </row>
    <row r="541">
      <c r="D541" s="1"/>
      <c r="G541" s="55"/>
      <c r="H541" s="55"/>
    </row>
    <row r="542">
      <c r="D542" s="1"/>
      <c r="G542" s="55"/>
      <c r="H542" s="55"/>
    </row>
    <row r="543">
      <c r="D543" s="1"/>
      <c r="G543" s="55"/>
      <c r="H543" s="55"/>
    </row>
    <row r="544">
      <c r="D544" s="1"/>
      <c r="G544" s="55"/>
      <c r="H544" s="55"/>
    </row>
    <row r="545">
      <c r="D545" s="1"/>
      <c r="G545" s="55"/>
      <c r="H545" s="55"/>
    </row>
    <row r="546">
      <c r="D546" s="1"/>
      <c r="G546" s="55"/>
      <c r="H546" s="55"/>
    </row>
    <row r="547">
      <c r="D547" s="1"/>
      <c r="G547" s="55"/>
      <c r="H547" s="55"/>
    </row>
    <row r="548">
      <c r="D548" s="1"/>
      <c r="G548" s="55"/>
      <c r="H548" s="55"/>
    </row>
    <row r="549">
      <c r="D549" s="1"/>
      <c r="G549" s="55"/>
      <c r="H549" s="55"/>
    </row>
    <row r="550">
      <c r="D550" s="1"/>
      <c r="G550" s="55"/>
      <c r="H550" s="55"/>
    </row>
    <row r="551">
      <c r="D551" s="1"/>
      <c r="G551" s="55"/>
      <c r="H551" s="55"/>
    </row>
    <row r="552">
      <c r="D552" s="1"/>
      <c r="G552" s="55"/>
      <c r="H552" s="55"/>
    </row>
    <row r="553">
      <c r="D553" s="1"/>
      <c r="G553" s="55"/>
      <c r="H553" s="55"/>
    </row>
    <row r="554">
      <c r="D554" s="1"/>
      <c r="G554" s="55"/>
      <c r="H554" s="55"/>
    </row>
    <row r="555">
      <c r="D555" s="1"/>
      <c r="G555" s="55"/>
      <c r="H555" s="55"/>
    </row>
    <row r="556">
      <c r="D556" s="1"/>
      <c r="G556" s="55"/>
      <c r="H556" s="55"/>
    </row>
    <row r="557">
      <c r="D557" s="1"/>
      <c r="G557" s="55"/>
      <c r="H557" s="55"/>
    </row>
    <row r="558">
      <c r="D558" s="1"/>
      <c r="G558" s="55"/>
      <c r="H558" s="55"/>
    </row>
    <row r="559">
      <c r="D559" s="1"/>
      <c r="G559" s="55"/>
      <c r="H559" s="55"/>
    </row>
    <row r="560">
      <c r="D560" s="1"/>
      <c r="G560" s="55"/>
      <c r="H560" s="55"/>
    </row>
    <row r="561">
      <c r="D561" s="1"/>
      <c r="G561" s="55"/>
      <c r="H561" s="55"/>
    </row>
    <row r="562">
      <c r="D562" s="1"/>
      <c r="G562" s="55"/>
      <c r="H562" s="55"/>
    </row>
    <row r="563">
      <c r="D563" s="1"/>
      <c r="G563" s="55"/>
      <c r="H563" s="55"/>
    </row>
    <row r="564">
      <c r="D564" s="1"/>
      <c r="G564" s="55"/>
      <c r="H564" s="55"/>
    </row>
    <row r="565">
      <c r="D565" s="1"/>
      <c r="G565" s="55"/>
      <c r="H565" s="55"/>
    </row>
    <row r="566">
      <c r="D566" s="1"/>
      <c r="G566" s="55"/>
      <c r="H566" s="55"/>
    </row>
    <row r="567">
      <c r="D567" s="1"/>
      <c r="G567" s="55"/>
      <c r="H567" s="55"/>
    </row>
    <row r="568">
      <c r="D568" s="1"/>
      <c r="G568" s="55"/>
      <c r="H568" s="55"/>
    </row>
    <row r="569">
      <c r="D569" s="1"/>
      <c r="G569" s="55"/>
      <c r="H569" s="55"/>
    </row>
    <row r="570">
      <c r="D570" s="1"/>
      <c r="G570" s="55"/>
      <c r="H570" s="55"/>
    </row>
    <row r="571">
      <c r="D571" s="1"/>
      <c r="G571" s="55"/>
      <c r="H571" s="55"/>
    </row>
    <row r="572">
      <c r="D572" s="1"/>
      <c r="G572" s="55"/>
      <c r="H572" s="55"/>
    </row>
    <row r="573">
      <c r="D573" s="1"/>
      <c r="G573" s="55"/>
      <c r="H573" s="55"/>
    </row>
    <row r="574">
      <c r="D574" s="1"/>
      <c r="G574" s="55"/>
      <c r="H574" s="55"/>
    </row>
    <row r="575">
      <c r="D575" s="1"/>
      <c r="G575" s="55"/>
      <c r="H575" s="55"/>
    </row>
    <row r="576">
      <c r="D576" s="1"/>
      <c r="G576" s="55"/>
      <c r="H576" s="55"/>
    </row>
    <row r="577">
      <c r="D577" s="1"/>
      <c r="G577" s="55"/>
      <c r="H577" s="55"/>
    </row>
    <row r="578">
      <c r="D578" s="1"/>
      <c r="G578" s="55"/>
      <c r="H578" s="55"/>
    </row>
    <row r="579">
      <c r="D579" s="1"/>
      <c r="G579" s="55"/>
      <c r="H579" s="55"/>
    </row>
    <row r="580">
      <c r="D580" s="1"/>
      <c r="G580" s="55"/>
      <c r="H580" s="55"/>
    </row>
    <row r="581">
      <c r="D581" s="1"/>
      <c r="G581" s="55"/>
      <c r="H581" s="55"/>
    </row>
    <row r="582">
      <c r="D582" s="1"/>
      <c r="G582" s="55"/>
      <c r="H582" s="55"/>
    </row>
    <row r="583">
      <c r="D583" s="1"/>
      <c r="G583" s="55"/>
      <c r="H583" s="55"/>
    </row>
    <row r="584">
      <c r="D584" s="1"/>
      <c r="G584" s="55"/>
      <c r="H584" s="55"/>
    </row>
    <row r="585">
      <c r="D585" s="1"/>
      <c r="G585" s="55"/>
      <c r="H585" s="55"/>
    </row>
    <row r="586">
      <c r="D586" s="1"/>
      <c r="G586" s="55"/>
      <c r="H586" s="55"/>
    </row>
    <row r="587">
      <c r="D587" s="1"/>
      <c r="G587" s="55"/>
      <c r="H587" s="55"/>
    </row>
    <row r="588">
      <c r="D588" s="1"/>
      <c r="G588" s="55"/>
      <c r="H588" s="55"/>
    </row>
    <row r="589">
      <c r="D589" s="1"/>
      <c r="G589" s="55"/>
      <c r="H589" s="55"/>
    </row>
    <row r="590">
      <c r="D590" s="1"/>
      <c r="G590" s="55"/>
      <c r="H590" s="55"/>
    </row>
    <row r="591">
      <c r="D591" s="1"/>
      <c r="G591" s="55"/>
      <c r="H591" s="55"/>
    </row>
    <row r="592">
      <c r="D592" s="1"/>
      <c r="G592" s="55"/>
      <c r="H592" s="55"/>
    </row>
    <row r="593">
      <c r="D593" s="1"/>
      <c r="G593" s="55"/>
      <c r="H593" s="55"/>
    </row>
    <row r="594">
      <c r="D594" s="1"/>
      <c r="G594" s="55"/>
      <c r="H594" s="55"/>
    </row>
    <row r="595">
      <c r="D595" s="1"/>
      <c r="G595" s="55"/>
      <c r="H595" s="55"/>
    </row>
    <row r="596">
      <c r="D596" s="1"/>
      <c r="G596" s="55"/>
      <c r="H596" s="55"/>
    </row>
    <row r="597">
      <c r="D597" s="1"/>
      <c r="G597" s="55"/>
      <c r="H597" s="55"/>
    </row>
    <row r="598">
      <c r="D598" s="1"/>
      <c r="G598" s="55"/>
      <c r="H598" s="55"/>
    </row>
    <row r="599">
      <c r="D599" s="1"/>
      <c r="G599" s="55"/>
      <c r="H599" s="55"/>
    </row>
    <row r="600">
      <c r="D600" s="1"/>
      <c r="G600" s="55"/>
      <c r="H600" s="55"/>
    </row>
    <row r="601">
      <c r="D601" s="1"/>
      <c r="G601" s="55"/>
      <c r="H601" s="55"/>
    </row>
    <row r="602">
      <c r="D602" s="1"/>
      <c r="G602" s="55"/>
      <c r="H602" s="55"/>
    </row>
    <row r="603">
      <c r="D603" s="1"/>
      <c r="G603" s="55"/>
      <c r="H603" s="55"/>
    </row>
    <row r="604">
      <c r="D604" s="1"/>
      <c r="G604" s="55"/>
      <c r="H604" s="55"/>
    </row>
    <row r="605">
      <c r="D605" s="1"/>
      <c r="G605" s="55"/>
      <c r="H605" s="55"/>
    </row>
    <row r="606">
      <c r="D606" s="1"/>
      <c r="G606" s="55"/>
      <c r="H606" s="55"/>
    </row>
    <row r="607">
      <c r="D607" s="1"/>
      <c r="G607" s="55"/>
      <c r="H607" s="55"/>
    </row>
    <row r="608">
      <c r="D608" s="1"/>
      <c r="G608" s="55"/>
      <c r="H608" s="55"/>
    </row>
    <row r="609">
      <c r="D609" s="1"/>
      <c r="G609" s="55"/>
      <c r="H609" s="55"/>
    </row>
    <row r="610">
      <c r="D610" s="1"/>
      <c r="G610" s="55"/>
      <c r="H610" s="55"/>
    </row>
    <row r="611">
      <c r="D611" s="1"/>
      <c r="G611" s="55"/>
      <c r="H611" s="55"/>
    </row>
    <row r="612">
      <c r="D612" s="1"/>
      <c r="G612" s="55"/>
      <c r="H612" s="55"/>
    </row>
    <row r="613">
      <c r="D613" s="1"/>
      <c r="G613" s="55"/>
      <c r="H613" s="55"/>
    </row>
    <row r="614">
      <c r="D614" s="1"/>
      <c r="G614" s="55"/>
      <c r="H614" s="55"/>
    </row>
    <row r="615">
      <c r="D615" s="1"/>
      <c r="G615" s="55"/>
      <c r="H615" s="55"/>
    </row>
    <row r="616">
      <c r="D616" s="1"/>
      <c r="G616" s="55"/>
      <c r="H616" s="55"/>
    </row>
    <row r="617">
      <c r="D617" s="1"/>
      <c r="G617" s="55"/>
      <c r="H617" s="55"/>
    </row>
    <row r="618">
      <c r="D618" s="1"/>
      <c r="G618" s="55"/>
      <c r="H618" s="55"/>
    </row>
    <row r="619">
      <c r="D619" s="1"/>
      <c r="G619" s="55"/>
      <c r="H619" s="55"/>
    </row>
    <row r="620">
      <c r="D620" s="1"/>
      <c r="G620" s="55"/>
      <c r="H620" s="55"/>
    </row>
    <row r="621">
      <c r="D621" s="1"/>
      <c r="G621" s="55"/>
      <c r="H621" s="55"/>
    </row>
    <row r="622">
      <c r="D622" s="1"/>
      <c r="G622" s="55"/>
      <c r="H622" s="55"/>
    </row>
    <row r="623">
      <c r="D623" s="1"/>
      <c r="G623" s="55"/>
      <c r="H623" s="55"/>
    </row>
    <row r="624">
      <c r="D624" s="1"/>
      <c r="G624" s="55"/>
      <c r="H624" s="55"/>
    </row>
    <row r="625">
      <c r="D625" s="1"/>
      <c r="G625" s="55"/>
      <c r="H625" s="55"/>
    </row>
    <row r="626">
      <c r="D626" s="1"/>
      <c r="G626" s="55"/>
      <c r="H626" s="55"/>
    </row>
    <row r="627">
      <c r="D627" s="1"/>
      <c r="G627" s="55"/>
      <c r="H627" s="55"/>
    </row>
    <row r="628">
      <c r="D628" s="1"/>
      <c r="G628" s="55"/>
      <c r="H628" s="55"/>
    </row>
    <row r="629">
      <c r="D629" s="1"/>
      <c r="G629" s="55"/>
      <c r="H629" s="55"/>
    </row>
    <row r="630">
      <c r="D630" s="1"/>
      <c r="G630" s="55"/>
      <c r="H630" s="55"/>
    </row>
    <row r="631">
      <c r="D631" s="1"/>
      <c r="G631" s="55"/>
      <c r="H631" s="55"/>
    </row>
    <row r="632">
      <c r="D632" s="1"/>
      <c r="G632" s="55"/>
      <c r="H632" s="55"/>
    </row>
    <row r="633">
      <c r="D633" s="1"/>
      <c r="G633" s="55"/>
      <c r="H633" s="55"/>
    </row>
    <row r="634">
      <c r="D634" s="1"/>
      <c r="G634" s="55"/>
      <c r="H634" s="55"/>
    </row>
    <row r="635">
      <c r="D635" s="1"/>
      <c r="G635" s="55"/>
      <c r="H635" s="55"/>
    </row>
    <row r="636">
      <c r="D636" s="1"/>
      <c r="G636" s="55"/>
      <c r="H636" s="55"/>
    </row>
    <row r="637">
      <c r="D637" s="1"/>
      <c r="G637" s="55"/>
      <c r="H637" s="55"/>
    </row>
    <row r="638">
      <c r="D638" s="1"/>
      <c r="G638" s="55"/>
      <c r="H638" s="55"/>
    </row>
    <row r="639">
      <c r="D639" s="1"/>
      <c r="G639" s="55"/>
      <c r="H639" s="55"/>
    </row>
    <row r="640">
      <c r="D640" s="1"/>
      <c r="G640" s="55"/>
      <c r="H640" s="55"/>
    </row>
    <row r="641">
      <c r="D641" s="1"/>
      <c r="G641" s="55"/>
      <c r="H641" s="55"/>
    </row>
    <row r="642">
      <c r="D642" s="1"/>
      <c r="G642" s="55"/>
      <c r="H642" s="55"/>
    </row>
    <row r="643">
      <c r="D643" s="1"/>
      <c r="G643" s="55"/>
      <c r="H643" s="55"/>
    </row>
    <row r="644">
      <c r="D644" s="1"/>
      <c r="G644" s="55"/>
      <c r="H644" s="55"/>
    </row>
    <row r="645">
      <c r="D645" s="1"/>
      <c r="G645" s="55"/>
      <c r="H645" s="55"/>
    </row>
    <row r="646">
      <c r="D646" s="1"/>
      <c r="G646" s="55"/>
      <c r="H646" s="55"/>
    </row>
    <row r="647">
      <c r="D647" s="1"/>
      <c r="G647" s="55"/>
      <c r="H647" s="55"/>
    </row>
    <row r="648">
      <c r="D648" s="1"/>
      <c r="G648" s="55"/>
      <c r="H648" s="55"/>
    </row>
    <row r="649">
      <c r="D649" s="1"/>
      <c r="G649" s="55"/>
      <c r="H649" s="55"/>
    </row>
    <row r="650">
      <c r="D650" s="1"/>
      <c r="G650" s="55"/>
      <c r="H650" s="55"/>
    </row>
    <row r="651">
      <c r="D651" s="1"/>
      <c r="G651" s="55"/>
      <c r="H651" s="55"/>
    </row>
    <row r="652">
      <c r="D652" s="1"/>
      <c r="G652" s="55"/>
      <c r="H652" s="55"/>
    </row>
    <row r="653">
      <c r="D653" s="1"/>
      <c r="G653" s="55"/>
      <c r="H653" s="55"/>
    </row>
    <row r="654">
      <c r="D654" s="1"/>
      <c r="G654" s="55"/>
      <c r="H654" s="55"/>
    </row>
    <row r="655">
      <c r="D655" s="1"/>
      <c r="G655" s="55"/>
      <c r="H655" s="55"/>
    </row>
    <row r="656">
      <c r="D656" s="1"/>
      <c r="G656" s="55"/>
      <c r="H656" s="55"/>
    </row>
    <row r="657">
      <c r="D657" s="1"/>
      <c r="G657" s="55"/>
      <c r="H657" s="55"/>
    </row>
    <row r="658">
      <c r="D658" s="1"/>
      <c r="G658" s="55"/>
      <c r="H658" s="55"/>
    </row>
    <row r="659">
      <c r="D659" s="1"/>
      <c r="G659" s="55"/>
      <c r="H659" s="55"/>
    </row>
    <row r="660">
      <c r="D660" s="1"/>
      <c r="G660" s="55"/>
      <c r="H660" s="55"/>
    </row>
    <row r="661">
      <c r="D661" s="1"/>
      <c r="G661" s="55"/>
      <c r="H661" s="55"/>
    </row>
    <row r="662">
      <c r="D662" s="1"/>
      <c r="G662" s="55"/>
      <c r="H662" s="55"/>
    </row>
    <row r="663">
      <c r="D663" s="1"/>
      <c r="G663" s="55"/>
      <c r="H663" s="55"/>
    </row>
    <row r="664">
      <c r="D664" s="1"/>
      <c r="G664" s="55"/>
      <c r="H664" s="55"/>
    </row>
    <row r="665">
      <c r="D665" s="1"/>
      <c r="G665" s="55"/>
      <c r="H665" s="55"/>
    </row>
    <row r="666">
      <c r="D666" s="1"/>
      <c r="G666" s="55"/>
      <c r="H666" s="55"/>
    </row>
    <row r="667">
      <c r="D667" s="1"/>
      <c r="G667" s="55"/>
      <c r="H667" s="55"/>
    </row>
    <row r="668">
      <c r="D668" s="1"/>
      <c r="G668" s="55"/>
      <c r="H668" s="55"/>
    </row>
    <row r="669">
      <c r="D669" s="1"/>
      <c r="G669" s="55"/>
      <c r="H669" s="55"/>
    </row>
    <row r="670">
      <c r="D670" s="1"/>
      <c r="G670" s="55"/>
      <c r="H670" s="55"/>
    </row>
    <row r="671">
      <c r="D671" s="1"/>
      <c r="G671" s="55"/>
      <c r="H671" s="55"/>
    </row>
    <row r="672">
      <c r="D672" s="1"/>
      <c r="G672" s="55"/>
      <c r="H672" s="55"/>
    </row>
    <row r="673">
      <c r="D673" s="1"/>
      <c r="G673" s="55"/>
      <c r="H673" s="55"/>
    </row>
    <row r="674">
      <c r="D674" s="1"/>
      <c r="G674" s="55"/>
      <c r="H674" s="55"/>
    </row>
    <row r="675">
      <c r="D675" s="1"/>
      <c r="G675" s="55"/>
      <c r="H675" s="55"/>
    </row>
    <row r="676">
      <c r="D676" s="1"/>
      <c r="G676" s="55"/>
      <c r="H676" s="55"/>
    </row>
    <row r="677">
      <c r="D677" s="1"/>
      <c r="G677" s="55"/>
      <c r="H677" s="55"/>
    </row>
    <row r="678">
      <c r="D678" s="1"/>
      <c r="G678" s="55"/>
      <c r="H678" s="55"/>
    </row>
    <row r="679">
      <c r="D679" s="1"/>
      <c r="G679" s="55"/>
      <c r="H679" s="55"/>
    </row>
    <row r="680">
      <c r="D680" s="1"/>
      <c r="G680" s="55"/>
      <c r="H680" s="55"/>
    </row>
    <row r="681">
      <c r="D681" s="1"/>
      <c r="G681" s="55"/>
      <c r="H681" s="55"/>
    </row>
    <row r="682">
      <c r="D682" s="1"/>
      <c r="G682" s="55"/>
      <c r="H682" s="55"/>
    </row>
    <row r="683">
      <c r="D683" s="1"/>
      <c r="G683" s="55"/>
      <c r="H683" s="55"/>
    </row>
    <row r="684">
      <c r="D684" s="1"/>
      <c r="G684" s="55"/>
      <c r="H684" s="55"/>
    </row>
    <row r="685">
      <c r="D685" s="1"/>
      <c r="G685" s="55"/>
      <c r="H685" s="55"/>
    </row>
    <row r="686">
      <c r="D686" s="1"/>
      <c r="G686" s="55"/>
      <c r="H686" s="55"/>
    </row>
    <row r="687">
      <c r="D687" s="1"/>
      <c r="G687" s="55"/>
      <c r="H687" s="55"/>
    </row>
    <row r="688">
      <c r="D688" s="1"/>
      <c r="G688" s="55"/>
      <c r="H688" s="55"/>
    </row>
    <row r="689">
      <c r="D689" s="1"/>
      <c r="G689" s="55"/>
      <c r="H689" s="55"/>
    </row>
    <row r="690">
      <c r="D690" s="1"/>
      <c r="G690" s="55"/>
      <c r="H690" s="55"/>
    </row>
    <row r="691">
      <c r="D691" s="1"/>
      <c r="G691" s="55"/>
      <c r="H691" s="55"/>
    </row>
    <row r="692">
      <c r="D692" s="1"/>
      <c r="G692" s="55"/>
      <c r="H692" s="55"/>
    </row>
    <row r="693">
      <c r="D693" s="1"/>
      <c r="G693" s="55"/>
      <c r="H693" s="55"/>
    </row>
    <row r="694">
      <c r="D694" s="1"/>
      <c r="G694" s="55"/>
      <c r="H694" s="55"/>
    </row>
    <row r="695">
      <c r="D695" s="1"/>
      <c r="G695" s="55"/>
      <c r="H695" s="55"/>
    </row>
    <row r="696">
      <c r="D696" s="1"/>
      <c r="G696" s="55"/>
      <c r="H696" s="55"/>
    </row>
    <row r="697">
      <c r="D697" s="1"/>
      <c r="G697" s="55"/>
      <c r="H697" s="55"/>
    </row>
    <row r="698">
      <c r="D698" s="1"/>
      <c r="G698" s="55"/>
      <c r="H698" s="55"/>
    </row>
    <row r="699">
      <c r="D699" s="1"/>
      <c r="G699" s="55"/>
      <c r="H699" s="55"/>
    </row>
    <row r="700">
      <c r="D700" s="1"/>
      <c r="G700" s="55"/>
      <c r="H700" s="55"/>
    </row>
    <row r="701">
      <c r="D701" s="1"/>
      <c r="G701" s="55"/>
      <c r="H701" s="55"/>
    </row>
    <row r="702">
      <c r="D702" s="1"/>
      <c r="G702" s="55"/>
      <c r="H702" s="55"/>
    </row>
    <row r="703">
      <c r="D703" s="1"/>
      <c r="G703" s="55"/>
      <c r="H703" s="55"/>
    </row>
    <row r="704">
      <c r="D704" s="1"/>
      <c r="G704" s="55"/>
      <c r="H704" s="55"/>
    </row>
    <row r="705">
      <c r="D705" s="1"/>
      <c r="G705" s="55"/>
      <c r="H705" s="55"/>
    </row>
    <row r="706">
      <c r="D706" s="1"/>
      <c r="G706" s="55"/>
      <c r="H706" s="55"/>
    </row>
    <row r="707">
      <c r="D707" s="1"/>
      <c r="G707" s="55"/>
      <c r="H707" s="55"/>
    </row>
    <row r="708">
      <c r="D708" s="1"/>
      <c r="G708" s="55"/>
      <c r="H708" s="55"/>
    </row>
    <row r="709">
      <c r="D709" s="1"/>
      <c r="G709" s="55"/>
      <c r="H709" s="55"/>
    </row>
    <row r="710">
      <c r="D710" s="1"/>
      <c r="G710" s="55"/>
      <c r="H710" s="55"/>
    </row>
    <row r="711">
      <c r="D711" s="1"/>
      <c r="G711" s="55"/>
      <c r="H711" s="55"/>
    </row>
    <row r="712">
      <c r="D712" s="1"/>
      <c r="G712" s="55"/>
      <c r="H712" s="55"/>
    </row>
    <row r="713">
      <c r="D713" s="1"/>
      <c r="G713" s="55"/>
      <c r="H713" s="55"/>
    </row>
    <row r="714">
      <c r="D714" s="1"/>
      <c r="G714" s="55"/>
      <c r="H714" s="55"/>
    </row>
    <row r="715">
      <c r="D715" s="1"/>
      <c r="G715" s="55"/>
      <c r="H715" s="55"/>
    </row>
    <row r="716">
      <c r="D716" s="1"/>
      <c r="G716" s="55"/>
      <c r="H716" s="55"/>
    </row>
    <row r="717">
      <c r="D717" s="1"/>
      <c r="G717" s="55"/>
      <c r="H717" s="55"/>
    </row>
    <row r="718">
      <c r="D718" s="1"/>
      <c r="G718" s="55"/>
      <c r="H718" s="55"/>
    </row>
    <row r="719">
      <c r="D719" s="1"/>
      <c r="G719" s="55"/>
      <c r="H719" s="55"/>
    </row>
    <row r="720">
      <c r="D720" s="1"/>
      <c r="G720" s="55"/>
      <c r="H720" s="55"/>
    </row>
    <row r="721">
      <c r="D721" s="1"/>
      <c r="G721" s="55"/>
      <c r="H721" s="55"/>
    </row>
    <row r="722">
      <c r="D722" s="1"/>
      <c r="G722" s="55"/>
      <c r="H722" s="55"/>
    </row>
    <row r="723">
      <c r="D723" s="1"/>
      <c r="G723" s="55"/>
      <c r="H723" s="55"/>
    </row>
    <row r="724">
      <c r="D724" s="1"/>
      <c r="G724" s="55"/>
      <c r="H724" s="55"/>
    </row>
    <row r="725">
      <c r="D725" s="1"/>
      <c r="G725" s="55"/>
      <c r="H725" s="55"/>
    </row>
    <row r="726">
      <c r="D726" s="1"/>
      <c r="G726" s="55"/>
      <c r="H726" s="55"/>
    </row>
    <row r="727">
      <c r="D727" s="1"/>
      <c r="G727" s="55"/>
      <c r="H727" s="55"/>
    </row>
    <row r="728">
      <c r="D728" s="1"/>
      <c r="G728" s="55"/>
      <c r="H728" s="55"/>
    </row>
    <row r="729">
      <c r="D729" s="1"/>
      <c r="G729" s="55"/>
      <c r="H729" s="55"/>
    </row>
    <row r="730">
      <c r="D730" s="1"/>
      <c r="G730" s="55"/>
      <c r="H730" s="55"/>
    </row>
    <row r="731">
      <c r="D731" s="1"/>
      <c r="G731" s="55"/>
      <c r="H731" s="55"/>
    </row>
    <row r="732">
      <c r="D732" s="1"/>
      <c r="G732" s="55"/>
      <c r="H732" s="55"/>
    </row>
    <row r="733">
      <c r="D733" s="1"/>
      <c r="G733" s="55"/>
      <c r="H733" s="55"/>
    </row>
    <row r="734">
      <c r="D734" s="1"/>
      <c r="G734" s="55"/>
      <c r="H734" s="55"/>
    </row>
    <row r="735">
      <c r="D735" s="1"/>
      <c r="G735" s="55"/>
      <c r="H735" s="55"/>
    </row>
    <row r="736">
      <c r="D736" s="1"/>
      <c r="G736" s="55"/>
      <c r="H736" s="55"/>
    </row>
    <row r="737">
      <c r="D737" s="1"/>
      <c r="G737" s="55"/>
      <c r="H737" s="55"/>
    </row>
    <row r="738">
      <c r="D738" s="1"/>
      <c r="G738" s="55"/>
      <c r="H738" s="55"/>
    </row>
    <row r="739">
      <c r="D739" s="1"/>
      <c r="G739" s="55"/>
      <c r="H739" s="55"/>
    </row>
    <row r="740">
      <c r="D740" s="1"/>
      <c r="G740" s="55"/>
      <c r="H740" s="55"/>
    </row>
    <row r="741">
      <c r="D741" s="1"/>
      <c r="G741" s="55"/>
      <c r="H741" s="55"/>
    </row>
    <row r="742">
      <c r="D742" s="1"/>
      <c r="G742" s="55"/>
      <c r="H742" s="55"/>
    </row>
    <row r="743">
      <c r="D743" s="1"/>
      <c r="G743" s="55"/>
      <c r="H743" s="55"/>
    </row>
    <row r="744">
      <c r="D744" s="1"/>
      <c r="G744" s="55"/>
      <c r="H744" s="55"/>
    </row>
    <row r="745">
      <c r="D745" s="1"/>
      <c r="G745" s="55"/>
      <c r="H745" s="55"/>
    </row>
    <row r="746">
      <c r="D746" s="1"/>
      <c r="G746" s="55"/>
      <c r="H746" s="55"/>
    </row>
    <row r="747">
      <c r="D747" s="1"/>
      <c r="G747" s="55"/>
      <c r="H747" s="55"/>
    </row>
    <row r="748">
      <c r="D748" s="1"/>
      <c r="G748" s="55"/>
      <c r="H748" s="55"/>
    </row>
    <row r="749">
      <c r="D749" s="1"/>
      <c r="G749" s="55"/>
      <c r="H749" s="55"/>
    </row>
    <row r="750">
      <c r="D750" s="1"/>
      <c r="G750" s="55"/>
      <c r="H750" s="55"/>
    </row>
    <row r="751">
      <c r="D751" s="1"/>
      <c r="G751" s="55"/>
      <c r="H751" s="55"/>
    </row>
    <row r="752">
      <c r="D752" s="1"/>
      <c r="G752" s="55"/>
      <c r="H752" s="55"/>
    </row>
    <row r="753">
      <c r="D753" s="1"/>
      <c r="G753" s="55"/>
      <c r="H753" s="55"/>
    </row>
    <row r="754">
      <c r="D754" s="1"/>
      <c r="G754" s="55"/>
      <c r="H754" s="55"/>
    </row>
    <row r="755">
      <c r="D755" s="1"/>
      <c r="G755" s="55"/>
      <c r="H755" s="55"/>
    </row>
    <row r="756">
      <c r="D756" s="1"/>
      <c r="G756" s="55"/>
      <c r="H756" s="55"/>
    </row>
    <row r="757">
      <c r="D757" s="1"/>
      <c r="G757" s="55"/>
      <c r="H757" s="55"/>
    </row>
    <row r="758">
      <c r="D758" s="1"/>
      <c r="G758" s="55"/>
      <c r="H758" s="55"/>
    </row>
    <row r="759">
      <c r="D759" s="1"/>
      <c r="G759" s="55"/>
      <c r="H759" s="55"/>
    </row>
    <row r="760">
      <c r="D760" s="1"/>
      <c r="G760" s="55"/>
      <c r="H760" s="55"/>
    </row>
    <row r="761">
      <c r="D761" s="1"/>
      <c r="G761" s="55"/>
      <c r="H761" s="55"/>
    </row>
    <row r="762">
      <c r="D762" s="1"/>
      <c r="G762" s="55"/>
      <c r="H762" s="55"/>
    </row>
    <row r="763">
      <c r="D763" s="1"/>
      <c r="G763" s="55"/>
      <c r="H763" s="55"/>
    </row>
    <row r="764">
      <c r="D764" s="1"/>
      <c r="G764" s="55"/>
      <c r="H764" s="55"/>
    </row>
    <row r="765">
      <c r="D765" s="1"/>
      <c r="G765" s="55"/>
      <c r="H765" s="55"/>
    </row>
    <row r="766">
      <c r="D766" s="1"/>
      <c r="G766" s="55"/>
      <c r="H766" s="55"/>
    </row>
    <row r="767">
      <c r="D767" s="1"/>
      <c r="G767" s="55"/>
      <c r="H767" s="55"/>
    </row>
    <row r="768">
      <c r="D768" s="1"/>
      <c r="G768" s="55"/>
      <c r="H768" s="55"/>
    </row>
    <row r="769">
      <c r="D769" s="1"/>
      <c r="G769" s="55"/>
      <c r="H769" s="55"/>
    </row>
    <row r="770">
      <c r="D770" s="1"/>
      <c r="G770" s="55"/>
      <c r="H770" s="55"/>
    </row>
    <row r="771">
      <c r="D771" s="1"/>
      <c r="G771" s="55"/>
      <c r="H771" s="55"/>
    </row>
    <row r="772">
      <c r="D772" s="1"/>
      <c r="G772" s="55"/>
      <c r="H772" s="55"/>
    </row>
    <row r="773">
      <c r="D773" s="1"/>
      <c r="G773" s="55"/>
      <c r="H773" s="55"/>
    </row>
    <row r="774">
      <c r="D774" s="1"/>
      <c r="G774" s="55"/>
      <c r="H774" s="55"/>
    </row>
    <row r="775">
      <c r="D775" s="1"/>
      <c r="G775" s="55"/>
      <c r="H775" s="55"/>
    </row>
    <row r="776">
      <c r="D776" s="1"/>
      <c r="G776" s="55"/>
      <c r="H776" s="55"/>
    </row>
    <row r="777">
      <c r="D777" s="1"/>
      <c r="G777" s="55"/>
      <c r="H777" s="55"/>
    </row>
    <row r="778">
      <c r="D778" s="1"/>
      <c r="G778" s="55"/>
      <c r="H778" s="55"/>
    </row>
    <row r="779">
      <c r="D779" s="1"/>
      <c r="G779" s="55"/>
      <c r="H779" s="55"/>
    </row>
    <row r="780">
      <c r="D780" s="1"/>
      <c r="G780" s="55"/>
      <c r="H780" s="55"/>
    </row>
    <row r="781">
      <c r="D781" s="1"/>
      <c r="G781" s="55"/>
      <c r="H781" s="55"/>
    </row>
    <row r="782">
      <c r="D782" s="1"/>
      <c r="G782" s="55"/>
      <c r="H782" s="55"/>
    </row>
    <row r="783">
      <c r="D783" s="1"/>
      <c r="G783" s="55"/>
      <c r="H783" s="55"/>
    </row>
    <row r="784">
      <c r="D784" s="1"/>
      <c r="G784" s="55"/>
      <c r="H784" s="55"/>
    </row>
    <row r="785">
      <c r="D785" s="1"/>
      <c r="G785" s="55"/>
      <c r="H785" s="55"/>
    </row>
    <row r="786">
      <c r="D786" s="1"/>
      <c r="G786" s="55"/>
      <c r="H786" s="55"/>
    </row>
    <row r="787">
      <c r="D787" s="1"/>
      <c r="G787" s="55"/>
      <c r="H787" s="55"/>
    </row>
    <row r="788">
      <c r="D788" s="1"/>
      <c r="G788" s="55"/>
      <c r="H788" s="55"/>
    </row>
    <row r="789">
      <c r="D789" s="1"/>
      <c r="G789" s="55"/>
      <c r="H789" s="55"/>
    </row>
    <row r="790">
      <c r="D790" s="1"/>
      <c r="G790" s="55"/>
      <c r="H790" s="55"/>
    </row>
    <row r="791">
      <c r="D791" s="1"/>
      <c r="G791" s="55"/>
      <c r="H791" s="55"/>
    </row>
    <row r="792">
      <c r="D792" s="1"/>
      <c r="G792" s="55"/>
      <c r="H792" s="55"/>
    </row>
    <row r="793">
      <c r="D793" s="1"/>
      <c r="G793" s="55"/>
      <c r="H793" s="55"/>
    </row>
    <row r="794">
      <c r="D794" s="1"/>
      <c r="G794" s="55"/>
      <c r="H794" s="55"/>
    </row>
    <row r="795">
      <c r="D795" s="1"/>
      <c r="G795" s="55"/>
      <c r="H795" s="55"/>
    </row>
    <row r="796">
      <c r="D796" s="1"/>
      <c r="G796" s="55"/>
      <c r="H796" s="55"/>
    </row>
    <row r="797">
      <c r="D797" s="1"/>
      <c r="G797" s="55"/>
      <c r="H797" s="55"/>
    </row>
    <row r="798">
      <c r="D798" s="1"/>
      <c r="G798" s="55"/>
      <c r="H798" s="55"/>
    </row>
    <row r="799">
      <c r="D799" s="1"/>
      <c r="G799" s="55"/>
      <c r="H799" s="55"/>
    </row>
    <row r="800">
      <c r="D800" s="1"/>
      <c r="G800" s="55"/>
      <c r="H800" s="55"/>
    </row>
    <row r="801">
      <c r="D801" s="1"/>
      <c r="G801" s="55"/>
      <c r="H801" s="55"/>
    </row>
    <row r="802">
      <c r="D802" s="1"/>
      <c r="G802" s="55"/>
      <c r="H802" s="55"/>
    </row>
    <row r="803">
      <c r="D803" s="1"/>
      <c r="G803" s="55"/>
      <c r="H803" s="55"/>
    </row>
    <row r="804">
      <c r="D804" s="1"/>
      <c r="G804" s="55"/>
      <c r="H804" s="55"/>
    </row>
    <row r="805">
      <c r="D805" s="1"/>
      <c r="G805" s="55"/>
      <c r="H805" s="55"/>
    </row>
    <row r="806">
      <c r="D806" s="1"/>
      <c r="G806" s="55"/>
      <c r="H806" s="55"/>
    </row>
    <row r="807">
      <c r="D807" s="1"/>
      <c r="G807" s="55"/>
      <c r="H807" s="55"/>
    </row>
    <row r="808">
      <c r="D808" s="1"/>
      <c r="G808" s="55"/>
      <c r="H808" s="55"/>
    </row>
    <row r="809">
      <c r="D809" s="1"/>
      <c r="G809" s="55"/>
      <c r="H809" s="55"/>
    </row>
    <row r="810">
      <c r="D810" s="1"/>
      <c r="G810" s="55"/>
      <c r="H810" s="55"/>
    </row>
    <row r="811">
      <c r="D811" s="1"/>
      <c r="G811" s="55"/>
      <c r="H811" s="55"/>
    </row>
    <row r="812">
      <c r="D812" s="1"/>
      <c r="G812" s="55"/>
      <c r="H812" s="55"/>
    </row>
    <row r="813">
      <c r="D813" s="1"/>
      <c r="G813" s="55"/>
      <c r="H813" s="55"/>
    </row>
    <row r="814">
      <c r="D814" s="1"/>
      <c r="G814" s="55"/>
      <c r="H814" s="55"/>
    </row>
    <row r="815">
      <c r="D815" s="1"/>
      <c r="G815" s="55"/>
      <c r="H815" s="55"/>
    </row>
    <row r="816">
      <c r="D816" s="1"/>
      <c r="G816" s="55"/>
      <c r="H816" s="55"/>
    </row>
    <row r="817">
      <c r="D817" s="1"/>
      <c r="G817" s="55"/>
      <c r="H817" s="55"/>
    </row>
    <row r="818">
      <c r="D818" s="1"/>
      <c r="G818" s="55"/>
      <c r="H818" s="55"/>
    </row>
    <row r="819">
      <c r="D819" s="1"/>
      <c r="G819" s="55"/>
      <c r="H819" s="55"/>
    </row>
    <row r="820">
      <c r="D820" s="1"/>
      <c r="G820" s="55"/>
      <c r="H820" s="55"/>
    </row>
    <row r="821">
      <c r="D821" s="1"/>
      <c r="G821" s="55"/>
      <c r="H821" s="55"/>
    </row>
    <row r="822">
      <c r="D822" s="1"/>
      <c r="G822" s="55"/>
      <c r="H822" s="55"/>
    </row>
    <row r="823">
      <c r="D823" s="1"/>
      <c r="G823" s="55"/>
      <c r="H823" s="55"/>
    </row>
    <row r="824">
      <c r="D824" s="1"/>
      <c r="G824" s="55"/>
      <c r="H824" s="55"/>
    </row>
    <row r="825">
      <c r="D825" s="1"/>
      <c r="G825" s="55"/>
      <c r="H825" s="55"/>
    </row>
    <row r="826">
      <c r="D826" s="1"/>
      <c r="G826" s="55"/>
      <c r="H826" s="55"/>
    </row>
    <row r="827">
      <c r="D827" s="1"/>
      <c r="G827" s="55"/>
      <c r="H827" s="55"/>
    </row>
    <row r="828">
      <c r="D828" s="1"/>
      <c r="G828" s="55"/>
      <c r="H828" s="55"/>
    </row>
    <row r="829">
      <c r="D829" s="1"/>
      <c r="G829" s="55"/>
      <c r="H829" s="55"/>
    </row>
    <row r="830">
      <c r="D830" s="1"/>
      <c r="G830" s="55"/>
      <c r="H830" s="55"/>
    </row>
    <row r="831">
      <c r="D831" s="1"/>
      <c r="G831" s="55"/>
      <c r="H831" s="55"/>
    </row>
    <row r="832">
      <c r="D832" s="1"/>
      <c r="G832" s="55"/>
      <c r="H832" s="55"/>
    </row>
    <row r="833">
      <c r="D833" s="1"/>
      <c r="G833" s="55"/>
      <c r="H833" s="55"/>
    </row>
    <row r="834">
      <c r="D834" s="1"/>
      <c r="G834" s="55"/>
      <c r="H834" s="55"/>
    </row>
    <row r="835">
      <c r="D835" s="1"/>
      <c r="G835" s="55"/>
      <c r="H835" s="55"/>
    </row>
    <row r="836">
      <c r="D836" s="1"/>
      <c r="G836" s="55"/>
      <c r="H836" s="55"/>
    </row>
    <row r="837">
      <c r="D837" s="1"/>
      <c r="G837" s="55"/>
      <c r="H837" s="55"/>
    </row>
    <row r="838">
      <c r="D838" s="1"/>
      <c r="G838" s="55"/>
      <c r="H838" s="55"/>
    </row>
    <row r="839">
      <c r="D839" s="1"/>
      <c r="G839" s="55"/>
      <c r="H839" s="55"/>
    </row>
    <row r="840">
      <c r="D840" s="1"/>
      <c r="G840" s="55"/>
      <c r="H840" s="55"/>
    </row>
    <row r="841">
      <c r="D841" s="1"/>
      <c r="G841" s="55"/>
      <c r="H841" s="55"/>
    </row>
    <row r="842">
      <c r="D842" s="1"/>
      <c r="G842" s="55"/>
      <c r="H842" s="55"/>
    </row>
    <row r="843">
      <c r="D843" s="1"/>
      <c r="G843" s="55"/>
      <c r="H843" s="55"/>
    </row>
    <row r="844">
      <c r="D844" s="1"/>
      <c r="G844" s="55"/>
      <c r="H844" s="55"/>
    </row>
    <row r="845">
      <c r="D845" s="1"/>
      <c r="G845" s="55"/>
      <c r="H845" s="55"/>
    </row>
    <row r="846">
      <c r="D846" s="1"/>
      <c r="G846" s="55"/>
      <c r="H846" s="55"/>
    </row>
    <row r="847">
      <c r="D847" s="1"/>
      <c r="G847" s="55"/>
      <c r="H847" s="55"/>
    </row>
    <row r="848">
      <c r="D848" s="1"/>
      <c r="G848" s="55"/>
      <c r="H848" s="55"/>
    </row>
    <row r="849">
      <c r="D849" s="1"/>
      <c r="G849" s="55"/>
      <c r="H849" s="55"/>
    </row>
    <row r="850">
      <c r="D850" s="1"/>
      <c r="G850" s="55"/>
      <c r="H850" s="55"/>
    </row>
    <row r="851">
      <c r="D851" s="1"/>
      <c r="G851" s="55"/>
      <c r="H851" s="55"/>
    </row>
    <row r="852">
      <c r="D852" s="1"/>
      <c r="G852" s="55"/>
      <c r="H852" s="55"/>
    </row>
    <row r="853">
      <c r="D853" s="1"/>
      <c r="G853" s="55"/>
      <c r="H853" s="55"/>
    </row>
    <row r="854">
      <c r="D854" s="1"/>
      <c r="G854" s="55"/>
      <c r="H854" s="55"/>
    </row>
    <row r="855">
      <c r="D855" s="1"/>
      <c r="G855" s="55"/>
      <c r="H855" s="55"/>
    </row>
    <row r="856">
      <c r="D856" s="1"/>
      <c r="G856" s="55"/>
      <c r="H856" s="55"/>
    </row>
    <row r="857">
      <c r="D857" s="1"/>
      <c r="G857" s="55"/>
      <c r="H857" s="55"/>
    </row>
    <row r="858">
      <c r="D858" s="1"/>
      <c r="G858" s="55"/>
      <c r="H858" s="55"/>
    </row>
    <row r="859">
      <c r="D859" s="1"/>
      <c r="G859" s="55"/>
      <c r="H859" s="55"/>
    </row>
    <row r="860">
      <c r="D860" s="1"/>
      <c r="G860" s="55"/>
      <c r="H860" s="55"/>
    </row>
    <row r="861">
      <c r="D861" s="1"/>
      <c r="G861" s="55"/>
      <c r="H861" s="55"/>
    </row>
    <row r="862">
      <c r="D862" s="1"/>
      <c r="G862" s="55"/>
      <c r="H862" s="55"/>
    </row>
    <row r="863">
      <c r="D863" s="1"/>
      <c r="G863" s="55"/>
      <c r="H863" s="55"/>
    </row>
    <row r="864">
      <c r="D864" s="1"/>
      <c r="G864" s="55"/>
      <c r="H864" s="55"/>
    </row>
    <row r="865">
      <c r="D865" s="1"/>
      <c r="G865" s="55"/>
      <c r="H865" s="55"/>
    </row>
    <row r="866">
      <c r="D866" s="1"/>
      <c r="G866" s="55"/>
      <c r="H866" s="55"/>
    </row>
    <row r="867">
      <c r="D867" s="1"/>
      <c r="G867" s="55"/>
      <c r="H867" s="55"/>
    </row>
    <row r="868">
      <c r="D868" s="1"/>
      <c r="G868" s="55"/>
      <c r="H868" s="55"/>
    </row>
    <row r="869">
      <c r="D869" s="1"/>
      <c r="G869" s="55"/>
      <c r="H869" s="55"/>
    </row>
    <row r="870">
      <c r="D870" s="1"/>
      <c r="G870" s="55"/>
      <c r="H870" s="55"/>
    </row>
    <row r="871">
      <c r="D871" s="1"/>
      <c r="G871" s="55"/>
      <c r="H871" s="55"/>
    </row>
    <row r="872">
      <c r="D872" s="1"/>
      <c r="G872" s="55"/>
      <c r="H872" s="55"/>
    </row>
    <row r="873">
      <c r="D873" s="1"/>
      <c r="G873" s="55"/>
      <c r="H873" s="55"/>
    </row>
    <row r="874">
      <c r="D874" s="1"/>
      <c r="G874" s="55"/>
      <c r="H874" s="55"/>
    </row>
    <row r="875">
      <c r="D875" s="1"/>
      <c r="G875" s="55"/>
      <c r="H875" s="55"/>
    </row>
    <row r="876">
      <c r="D876" s="1"/>
      <c r="G876" s="55"/>
      <c r="H876" s="55"/>
    </row>
    <row r="877">
      <c r="D877" s="1"/>
      <c r="G877" s="55"/>
      <c r="H877" s="55"/>
    </row>
    <row r="878">
      <c r="D878" s="1"/>
      <c r="G878" s="55"/>
      <c r="H878" s="55"/>
    </row>
    <row r="879">
      <c r="D879" s="1"/>
      <c r="G879" s="55"/>
      <c r="H879" s="55"/>
    </row>
    <row r="880">
      <c r="D880" s="1"/>
      <c r="G880" s="55"/>
      <c r="H880" s="55"/>
    </row>
    <row r="881">
      <c r="D881" s="1"/>
      <c r="G881" s="55"/>
      <c r="H881" s="55"/>
    </row>
    <row r="882">
      <c r="D882" s="1"/>
      <c r="G882" s="55"/>
      <c r="H882" s="55"/>
    </row>
    <row r="883">
      <c r="D883" s="1"/>
      <c r="G883" s="55"/>
      <c r="H883" s="55"/>
    </row>
    <row r="884">
      <c r="D884" s="1"/>
      <c r="G884" s="55"/>
      <c r="H884" s="55"/>
    </row>
    <row r="885">
      <c r="D885" s="1"/>
      <c r="G885" s="55"/>
      <c r="H885" s="55"/>
    </row>
    <row r="886">
      <c r="D886" s="1"/>
      <c r="G886" s="55"/>
      <c r="H886" s="55"/>
    </row>
    <row r="887">
      <c r="D887" s="1"/>
      <c r="G887" s="55"/>
      <c r="H887" s="55"/>
    </row>
    <row r="888">
      <c r="D888" s="1"/>
      <c r="G888" s="55"/>
      <c r="H888" s="55"/>
    </row>
    <row r="889">
      <c r="D889" s="1"/>
      <c r="G889" s="55"/>
      <c r="H889" s="55"/>
    </row>
    <row r="890">
      <c r="D890" s="1"/>
      <c r="G890" s="55"/>
      <c r="H890" s="55"/>
    </row>
    <row r="891">
      <c r="D891" s="1"/>
      <c r="G891" s="55"/>
      <c r="H891" s="55"/>
    </row>
    <row r="892">
      <c r="D892" s="1"/>
      <c r="G892" s="55"/>
      <c r="H892" s="55"/>
    </row>
    <row r="893">
      <c r="D893" s="1"/>
      <c r="G893" s="55"/>
      <c r="H893" s="55"/>
    </row>
    <row r="894">
      <c r="D894" s="1"/>
      <c r="G894" s="55"/>
      <c r="H894" s="55"/>
    </row>
    <row r="895">
      <c r="D895" s="1"/>
      <c r="G895" s="55"/>
      <c r="H895" s="55"/>
    </row>
    <row r="896">
      <c r="D896" s="1"/>
      <c r="G896" s="55"/>
      <c r="H896" s="55"/>
    </row>
    <row r="897">
      <c r="D897" s="1"/>
      <c r="G897" s="55"/>
      <c r="H897" s="55"/>
    </row>
    <row r="898">
      <c r="D898" s="1"/>
      <c r="G898" s="55"/>
      <c r="H898" s="55"/>
    </row>
    <row r="899">
      <c r="D899" s="1"/>
      <c r="G899" s="55"/>
      <c r="H899" s="55"/>
    </row>
    <row r="900">
      <c r="D900" s="1"/>
      <c r="G900" s="55"/>
      <c r="H900" s="55"/>
    </row>
    <row r="901">
      <c r="D901" s="1"/>
      <c r="G901" s="55"/>
      <c r="H901" s="55"/>
    </row>
    <row r="902">
      <c r="D902" s="1"/>
      <c r="G902" s="55"/>
      <c r="H902" s="55"/>
    </row>
    <row r="903">
      <c r="D903" s="1"/>
      <c r="G903" s="55"/>
      <c r="H903" s="55"/>
    </row>
    <row r="904">
      <c r="D904" s="1"/>
      <c r="G904" s="55"/>
      <c r="H904" s="55"/>
    </row>
    <row r="905">
      <c r="D905" s="1"/>
      <c r="G905" s="55"/>
      <c r="H905" s="55"/>
    </row>
    <row r="906">
      <c r="D906" s="1"/>
      <c r="G906" s="55"/>
      <c r="H906" s="55"/>
    </row>
    <row r="907">
      <c r="D907" s="1"/>
      <c r="G907" s="55"/>
      <c r="H907" s="55"/>
    </row>
    <row r="908">
      <c r="D908" s="1"/>
      <c r="G908" s="55"/>
      <c r="H908" s="55"/>
    </row>
    <row r="909">
      <c r="D909" s="1"/>
      <c r="G909" s="55"/>
      <c r="H909" s="55"/>
    </row>
    <row r="910">
      <c r="D910" s="1"/>
      <c r="G910" s="55"/>
      <c r="H910" s="55"/>
    </row>
    <row r="911">
      <c r="D911" s="1"/>
      <c r="G911" s="55"/>
      <c r="H911" s="55"/>
    </row>
    <row r="912">
      <c r="D912" s="1"/>
      <c r="G912" s="55"/>
      <c r="H912" s="55"/>
    </row>
    <row r="913">
      <c r="D913" s="1"/>
      <c r="G913" s="55"/>
      <c r="H913" s="55"/>
    </row>
    <row r="914">
      <c r="D914" s="1"/>
      <c r="G914" s="55"/>
      <c r="H914" s="55"/>
    </row>
    <row r="915">
      <c r="D915" s="1"/>
      <c r="G915" s="55"/>
      <c r="H915" s="55"/>
    </row>
    <row r="916">
      <c r="D916" s="1"/>
      <c r="G916" s="55"/>
      <c r="H916" s="55"/>
    </row>
    <row r="917">
      <c r="D917" s="1"/>
      <c r="G917" s="55"/>
      <c r="H917" s="55"/>
    </row>
    <row r="918">
      <c r="D918" s="1"/>
      <c r="G918" s="55"/>
      <c r="H918" s="55"/>
    </row>
    <row r="919">
      <c r="D919" s="1"/>
      <c r="G919" s="55"/>
      <c r="H919" s="55"/>
    </row>
    <row r="920">
      <c r="D920" s="1"/>
      <c r="G920" s="55"/>
      <c r="H920" s="55"/>
    </row>
    <row r="921">
      <c r="D921" s="1"/>
      <c r="G921" s="55"/>
      <c r="H921" s="55"/>
    </row>
    <row r="922">
      <c r="D922" s="1"/>
      <c r="G922" s="55"/>
      <c r="H922" s="55"/>
    </row>
    <row r="923">
      <c r="D923" s="1"/>
      <c r="G923" s="55"/>
      <c r="H923" s="55"/>
    </row>
    <row r="924">
      <c r="D924" s="1"/>
      <c r="G924" s="55"/>
      <c r="H924" s="55"/>
    </row>
    <row r="925">
      <c r="D925" s="1"/>
      <c r="G925" s="55"/>
      <c r="H925" s="55"/>
    </row>
    <row r="926">
      <c r="D926" s="1"/>
      <c r="G926" s="55"/>
      <c r="H926" s="55"/>
    </row>
    <row r="927">
      <c r="D927" s="1"/>
      <c r="G927" s="55"/>
      <c r="H927" s="55"/>
    </row>
    <row r="928">
      <c r="D928" s="1"/>
      <c r="G928" s="55"/>
      <c r="H928" s="55"/>
    </row>
    <row r="929">
      <c r="D929" s="1"/>
      <c r="G929" s="55"/>
      <c r="H929" s="55"/>
    </row>
    <row r="930">
      <c r="D930" s="1"/>
      <c r="G930" s="55"/>
      <c r="H930" s="55"/>
    </row>
    <row r="931">
      <c r="D931" s="1"/>
      <c r="G931" s="55"/>
      <c r="H931" s="55"/>
    </row>
    <row r="932">
      <c r="D932" s="1"/>
      <c r="G932" s="55"/>
      <c r="H932" s="55"/>
    </row>
    <row r="933">
      <c r="D933" s="1"/>
      <c r="G933" s="55"/>
      <c r="H933" s="55"/>
    </row>
    <row r="934">
      <c r="D934" s="1"/>
      <c r="G934" s="55"/>
      <c r="H934" s="55"/>
    </row>
    <row r="935">
      <c r="D935" s="1"/>
      <c r="G935" s="55"/>
      <c r="H935" s="55"/>
    </row>
    <row r="936">
      <c r="D936" s="1"/>
      <c r="G936" s="55"/>
      <c r="H936" s="55"/>
    </row>
    <row r="937">
      <c r="D937" s="1"/>
      <c r="G937" s="55"/>
      <c r="H937" s="55"/>
    </row>
    <row r="938">
      <c r="D938" s="1"/>
      <c r="G938" s="55"/>
      <c r="H938" s="55"/>
    </row>
    <row r="939">
      <c r="D939" s="1"/>
      <c r="G939" s="55"/>
      <c r="H939" s="55"/>
    </row>
    <row r="940">
      <c r="D940" s="1"/>
      <c r="G940" s="55"/>
      <c r="H940" s="55"/>
    </row>
    <row r="941">
      <c r="D941" s="1"/>
      <c r="G941" s="55"/>
      <c r="H941" s="55"/>
    </row>
    <row r="942">
      <c r="D942" s="1"/>
      <c r="G942" s="55"/>
      <c r="H942" s="55"/>
    </row>
    <row r="943">
      <c r="D943" s="1"/>
      <c r="G943" s="55"/>
      <c r="H943" s="55"/>
    </row>
    <row r="944">
      <c r="D944" s="1"/>
      <c r="G944" s="55"/>
      <c r="H944" s="55"/>
    </row>
    <row r="945">
      <c r="D945" s="1"/>
      <c r="G945" s="55"/>
      <c r="H945" s="55"/>
    </row>
    <row r="946">
      <c r="D946" s="1"/>
      <c r="G946" s="55"/>
      <c r="H946" s="55"/>
    </row>
    <row r="947">
      <c r="D947" s="1"/>
      <c r="G947" s="55"/>
      <c r="H947" s="55"/>
    </row>
    <row r="948">
      <c r="D948" s="1"/>
      <c r="G948" s="55"/>
      <c r="H948" s="55"/>
    </row>
    <row r="949">
      <c r="D949" s="1"/>
      <c r="G949" s="55"/>
      <c r="H949" s="55"/>
    </row>
    <row r="950">
      <c r="D950" s="1"/>
      <c r="G950" s="55"/>
      <c r="H950" s="55"/>
    </row>
    <row r="951">
      <c r="D951" s="1"/>
      <c r="G951" s="55"/>
      <c r="H951" s="55"/>
    </row>
    <row r="952">
      <c r="D952" s="1"/>
      <c r="G952" s="55"/>
      <c r="H952" s="55"/>
    </row>
    <row r="953">
      <c r="D953" s="1"/>
      <c r="G953" s="55"/>
      <c r="H953" s="55"/>
    </row>
    <row r="954">
      <c r="D954" s="1"/>
      <c r="G954" s="55"/>
      <c r="H954" s="55"/>
    </row>
    <row r="955">
      <c r="D955" s="1"/>
      <c r="G955" s="55"/>
      <c r="H955" s="55"/>
    </row>
    <row r="956">
      <c r="D956" s="1"/>
      <c r="G956" s="55"/>
      <c r="H956" s="55"/>
    </row>
    <row r="957">
      <c r="D957" s="1"/>
      <c r="G957" s="55"/>
      <c r="H957" s="55"/>
    </row>
    <row r="958">
      <c r="D958" s="1"/>
      <c r="G958" s="55"/>
      <c r="H958" s="55"/>
    </row>
    <row r="959">
      <c r="D959" s="1"/>
      <c r="G959" s="55"/>
      <c r="H959" s="55"/>
    </row>
    <row r="960">
      <c r="D960" s="1"/>
      <c r="G960" s="55"/>
      <c r="H960" s="55"/>
    </row>
    <row r="961">
      <c r="D961" s="1"/>
      <c r="G961" s="55"/>
      <c r="H961" s="55"/>
    </row>
    <row r="962">
      <c r="D962" s="1"/>
      <c r="G962" s="55"/>
      <c r="H962" s="55"/>
    </row>
    <row r="963">
      <c r="D963" s="1"/>
      <c r="G963" s="55"/>
      <c r="H963" s="55"/>
    </row>
    <row r="964">
      <c r="D964" s="1"/>
      <c r="G964" s="55"/>
      <c r="H964" s="55"/>
    </row>
    <row r="965">
      <c r="D965" s="1"/>
      <c r="G965" s="55"/>
      <c r="H965" s="55"/>
    </row>
    <row r="966">
      <c r="D966" s="1"/>
      <c r="G966" s="55"/>
      <c r="H966" s="55"/>
    </row>
    <row r="967">
      <c r="D967" s="1"/>
      <c r="G967" s="55"/>
      <c r="H967" s="55"/>
    </row>
    <row r="968">
      <c r="D968" s="1"/>
      <c r="G968" s="55"/>
      <c r="H968" s="55"/>
    </row>
    <row r="969">
      <c r="D969" s="1"/>
      <c r="G969" s="55"/>
      <c r="H969" s="55"/>
    </row>
    <row r="970">
      <c r="D970" s="1"/>
      <c r="G970" s="55"/>
      <c r="H970" s="55"/>
    </row>
    <row r="971">
      <c r="D971" s="1"/>
      <c r="G971" s="55"/>
      <c r="H971" s="55"/>
    </row>
    <row r="972">
      <c r="D972" s="1"/>
      <c r="G972" s="55"/>
      <c r="H972" s="55"/>
    </row>
    <row r="973">
      <c r="D973" s="1"/>
      <c r="G973" s="55"/>
      <c r="H973" s="55"/>
    </row>
    <row r="974">
      <c r="D974" s="1"/>
      <c r="G974" s="55"/>
      <c r="H974" s="55"/>
    </row>
    <row r="975">
      <c r="D975" s="1"/>
      <c r="G975" s="55"/>
      <c r="H975" s="55"/>
    </row>
    <row r="976">
      <c r="D976" s="1"/>
      <c r="G976" s="55"/>
      <c r="H976" s="55"/>
    </row>
    <row r="977">
      <c r="D977" s="1"/>
      <c r="G977" s="55"/>
      <c r="H977" s="55"/>
    </row>
    <row r="978">
      <c r="D978" s="1"/>
      <c r="G978" s="55"/>
      <c r="H978" s="55"/>
    </row>
    <row r="979">
      <c r="D979" s="1"/>
      <c r="G979" s="55"/>
      <c r="H979" s="55"/>
    </row>
    <row r="980">
      <c r="D980" s="1"/>
      <c r="G980" s="55"/>
      <c r="H980" s="55"/>
    </row>
    <row r="981">
      <c r="D981" s="1"/>
      <c r="G981" s="55"/>
      <c r="H981" s="55"/>
    </row>
    <row r="982">
      <c r="D982" s="1"/>
      <c r="G982" s="55"/>
      <c r="H982" s="55"/>
    </row>
    <row r="983">
      <c r="D983" s="1"/>
      <c r="G983" s="55"/>
      <c r="H983" s="55"/>
    </row>
    <row r="984">
      <c r="D984" s="1"/>
      <c r="G984" s="55"/>
      <c r="H984" s="55"/>
    </row>
    <row r="985">
      <c r="D985" s="1"/>
      <c r="G985" s="55"/>
      <c r="H985" s="55"/>
    </row>
    <row r="986">
      <c r="D986" s="1"/>
      <c r="G986" s="55"/>
      <c r="H986" s="55"/>
    </row>
    <row r="987">
      <c r="D987" s="1"/>
      <c r="G987" s="55"/>
      <c r="H987" s="55"/>
    </row>
    <row r="988">
      <c r="D988" s="1"/>
      <c r="G988" s="55"/>
      <c r="H988" s="55"/>
    </row>
    <row r="989">
      <c r="D989" s="1"/>
      <c r="G989" s="55"/>
      <c r="H989" s="55"/>
    </row>
    <row r="990">
      <c r="D990" s="1"/>
      <c r="G990" s="55"/>
      <c r="H990" s="55"/>
    </row>
    <row r="991">
      <c r="D991" s="1"/>
      <c r="G991" s="55"/>
      <c r="H991" s="55"/>
    </row>
    <row r="992">
      <c r="D992" s="1"/>
      <c r="G992" s="55"/>
      <c r="H992" s="55"/>
    </row>
    <row r="993">
      <c r="D993" s="1"/>
      <c r="G993" s="55"/>
      <c r="H993" s="55"/>
    </row>
    <row r="994">
      <c r="D994" s="1"/>
      <c r="G994" s="55"/>
      <c r="H994" s="55"/>
    </row>
    <row r="995">
      <c r="D995" s="1"/>
      <c r="G995" s="55"/>
      <c r="H995" s="55"/>
    </row>
    <row r="996">
      <c r="D996" s="1"/>
      <c r="G996" s="55"/>
      <c r="H996" s="55"/>
    </row>
    <row r="997">
      <c r="D997" s="1"/>
      <c r="G997" s="55"/>
      <c r="H997" s="55"/>
    </row>
    <row r="998">
      <c r="D998" s="1"/>
      <c r="G998" s="55"/>
      <c r="H998" s="55"/>
    </row>
    <row r="999">
      <c r="D999" s="1"/>
      <c r="G999" s="55"/>
      <c r="H999" s="55"/>
    </row>
    <row r="1000">
      <c r="D1000" s="1"/>
      <c r="G1000" s="55"/>
      <c r="H1000" s="55"/>
    </row>
    <row r="1001">
      <c r="D1001" s="1"/>
      <c r="G1001" s="55"/>
      <c r="H1001" s="55"/>
    </row>
    <row r="1002">
      <c r="D1002" s="1"/>
      <c r="G1002" s="55"/>
      <c r="H1002" s="55"/>
    </row>
    <row r="1003">
      <c r="D1003" s="1"/>
      <c r="G1003" s="55"/>
      <c r="H1003" s="55"/>
    </row>
    <row r="1004">
      <c r="D1004" s="1"/>
      <c r="G1004" s="55"/>
      <c r="H1004" s="55"/>
    </row>
    <row r="1005">
      <c r="D1005" s="1"/>
      <c r="G1005" s="55"/>
      <c r="H1005" s="55"/>
    </row>
    <row r="1006">
      <c r="D1006" s="1"/>
      <c r="G1006" s="55"/>
      <c r="H1006" s="55"/>
    </row>
    <row r="1007">
      <c r="D1007" s="1"/>
      <c r="G1007" s="55"/>
      <c r="H1007" s="55"/>
    </row>
    <row r="1008">
      <c r="D1008" s="1"/>
      <c r="G1008" s="55"/>
      <c r="H1008" s="55"/>
    </row>
    <row r="1009">
      <c r="D1009" s="1"/>
      <c r="G1009" s="55"/>
      <c r="H1009" s="55"/>
    </row>
    <row r="1010">
      <c r="D1010" s="1"/>
      <c r="G1010" s="55"/>
      <c r="H1010" s="55"/>
    </row>
    <row r="1011">
      <c r="D1011" s="1"/>
      <c r="G1011" s="55"/>
      <c r="H1011" s="55"/>
    </row>
    <row r="1012">
      <c r="D1012" s="1"/>
      <c r="G1012" s="55"/>
      <c r="H1012" s="55"/>
    </row>
    <row r="1013">
      <c r="D1013" s="1"/>
      <c r="G1013" s="55"/>
      <c r="H1013" s="55"/>
    </row>
    <row r="1014">
      <c r="D1014" s="1"/>
      <c r="G1014" s="55"/>
      <c r="H1014" s="55"/>
    </row>
    <row r="1015">
      <c r="D1015" s="1"/>
      <c r="G1015" s="55"/>
      <c r="H1015" s="55"/>
    </row>
    <row r="1016">
      <c r="D1016" s="1"/>
      <c r="G1016" s="55"/>
      <c r="H1016" s="55"/>
    </row>
    <row r="1017">
      <c r="D1017" s="1"/>
      <c r="G1017" s="55"/>
      <c r="H1017" s="55"/>
    </row>
    <row r="1018">
      <c r="D1018" s="1"/>
      <c r="G1018" s="55"/>
      <c r="H1018" s="55"/>
    </row>
    <row r="1019">
      <c r="D1019" s="1"/>
      <c r="G1019" s="55"/>
      <c r="H1019" s="55"/>
    </row>
    <row r="1020">
      <c r="D1020" s="1"/>
      <c r="G1020" s="55"/>
      <c r="H1020" s="55"/>
    </row>
    <row r="1021">
      <c r="D1021" s="1"/>
      <c r="G1021" s="55"/>
      <c r="H1021" s="55"/>
    </row>
    <row r="1022">
      <c r="D1022" s="1"/>
      <c r="G1022" s="55"/>
      <c r="H1022" s="55"/>
    </row>
    <row r="1023">
      <c r="D1023" s="1"/>
      <c r="G1023" s="55"/>
      <c r="H1023" s="55"/>
    </row>
    <row r="1024">
      <c r="D1024" s="1"/>
      <c r="G1024" s="55"/>
      <c r="H1024" s="55"/>
    </row>
    <row r="1025">
      <c r="D1025" s="1"/>
      <c r="G1025" s="55"/>
      <c r="H1025" s="55"/>
    </row>
    <row r="1026">
      <c r="D1026" s="1"/>
      <c r="G1026" s="55"/>
      <c r="H1026" s="55"/>
    </row>
    <row r="1027">
      <c r="D1027" s="1"/>
      <c r="G1027" s="55"/>
      <c r="H1027" s="55"/>
    </row>
    <row r="1028">
      <c r="D1028" s="1"/>
      <c r="G1028" s="55"/>
      <c r="H1028" s="55"/>
    </row>
    <row r="1029">
      <c r="D1029" s="1"/>
      <c r="G1029" s="55"/>
      <c r="H1029" s="55"/>
    </row>
    <row r="1030">
      <c r="D1030" s="1"/>
      <c r="G1030" s="55"/>
      <c r="H1030" s="55"/>
    </row>
    <row r="1031">
      <c r="D1031" s="1"/>
      <c r="G1031" s="55"/>
      <c r="H1031" s="55"/>
    </row>
    <row r="1032">
      <c r="D1032" s="1"/>
      <c r="G1032" s="55"/>
      <c r="H1032" s="55"/>
    </row>
    <row r="1033">
      <c r="D1033" s="1"/>
      <c r="G1033" s="55"/>
      <c r="H1033" s="55"/>
    </row>
    <row r="1034">
      <c r="D1034" s="1"/>
      <c r="G1034" s="55"/>
      <c r="H1034" s="55"/>
    </row>
    <row r="1035">
      <c r="D1035" s="1"/>
      <c r="G1035" s="55"/>
      <c r="H1035" s="55"/>
    </row>
    <row r="1036">
      <c r="D1036" s="1"/>
      <c r="G1036" s="55"/>
      <c r="H1036" s="55"/>
    </row>
    <row r="1037">
      <c r="D1037" s="1"/>
      <c r="G1037" s="55"/>
      <c r="H1037" s="55"/>
    </row>
    <row r="1038">
      <c r="D1038" s="1"/>
      <c r="G1038" s="55"/>
      <c r="H1038" s="55"/>
    </row>
    <row r="1039">
      <c r="D1039" s="1"/>
      <c r="G1039" s="55"/>
      <c r="H1039" s="55"/>
    </row>
    <row r="1040">
      <c r="D1040" s="1"/>
      <c r="G1040" s="55"/>
      <c r="H1040" s="55"/>
    </row>
    <row r="1041">
      <c r="D1041" s="1"/>
      <c r="G1041" s="55"/>
      <c r="H1041" s="55"/>
    </row>
  </sheetData>
  <dataValidations>
    <dataValidation type="list" allowBlank="1" showErrorMessage="1" sqref="E45:J46 L45:M46">
      <formula1>"No,Yes,Partial,TBD"</formula1>
    </dataValidation>
    <dataValidation type="list" allowBlank="1" showErrorMessage="1" sqref="G19:H19 E20:J20 L19:M20">
      <formula1>"Hub / Manual,TOS,WMS,Middleware"</formula1>
    </dataValidation>
    <dataValidation type="list" allowBlank="1" showErrorMessage="1" sqref="L22">
      <formula1>"FTA,Cust Ctrl Environment,Cust Terminal,Cust Worksite"</formula1>
    </dataValidation>
    <dataValidation type="list" allowBlank="1" showErrorMessage="1" sqref="L9:M9">
      <formula1>"SDIC,System Safety"</formula1>
    </dataValidation>
    <dataValidation type="list" allowBlank="1" showErrorMessage="1" sqref="L7:M8 E7:J11 L10:M11 E13:J13 L13:M13 E15:J18 L15:M18 E19:F19 I19:J19 E21:F21 I21:J21 L21:M21 E29:J36 L29:M36 E39:J44 L39:M44 E48:J50 L48:M50 E52:J71 L52:M71">
      <formula1>"No,Partial,Yes,Yes, off-cycle,TBD"</formula1>
    </dataValidation>
    <dataValidation type="list" allowBlank="1" showErrorMessage="1" sqref="E24:J24 L24:M24">
      <formula1>"Dry,Dry-Wet,Dry-Wet-Freeze,Icy/Snowy"</formula1>
    </dataValidation>
    <dataValidation type="list" allowBlank="1" showErrorMessage="1" sqref="E26:J26 L26:M26">
      <formula1>"High, &gt; 100 m,Med &gt; 50 m,Low &gt; 10 m"</formula1>
    </dataValidation>
    <dataValidation type="list" allowBlank="1" showErrorMessage="1" sqref="E14:J14 L14:M14">
      <formula1>"No,Not Req'd,Yes"</formula1>
    </dataValidation>
    <dataValidation type="list" allowBlank="1" showErrorMessage="1" sqref="E25:J25 L25:M25">
      <formula1>"Clear,Clear + Voids,Clear + Voids + Coverage"</formula1>
    </dataValidation>
    <dataValidation type="list" allowBlank="1" showErrorMessage="1" sqref="G21:H21 E22:J22 M22">
      <formula1>"FTA,Cust Ctrl Env,Cust Prod Env"</formula1>
    </dataValidation>
    <dataValidation type="list" allowBlank="1" showErrorMessage="1" sqref="E27:J27 L27:M27">
      <formula1>"Day, glare,Night &gt; 12 LUX,Night &lt; 12 LUX"</formula1>
    </dataValidation>
  </dataValidation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outlineLevelRow="1"/>
  <cols>
    <col customWidth="1" min="1" max="1" width="1.38"/>
    <col customWidth="1" min="2" max="2" width="6.38"/>
    <col customWidth="1" min="3" max="3" width="33.75"/>
    <col customWidth="1" min="4" max="4" width="53.25"/>
    <col customWidth="1" min="5" max="14" width="18.88"/>
  </cols>
  <sheetData>
    <row r="1">
      <c r="A1" s="88" t="s">
        <v>233</v>
      </c>
      <c r="D1" s="1"/>
      <c r="J1" s="89"/>
      <c r="K1" s="89"/>
    </row>
    <row r="2">
      <c r="A2" s="2"/>
      <c r="B2" s="3" t="s">
        <v>0</v>
      </c>
      <c r="C2" s="4"/>
      <c r="E2" s="5" t="s">
        <v>234</v>
      </c>
      <c r="F2" s="5" t="s">
        <v>235</v>
      </c>
      <c r="G2" s="5" t="s">
        <v>236</v>
      </c>
      <c r="H2" s="5" t="s">
        <v>237</v>
      </c>
      <c r="I2" s="5" t="s">
        <v>238</v>
      </c>
      <c r="J2" s="5" t="s">
        <v>239</v>
      </c>
      <c r="K2" s="89"/>
      <c r="L2" s="5"/>
      <c r="M2" s="5"/>
      <c r="N2" s="2"/>
      <c r="O2" s="2"/>
      <c r="P2" s="2"/>
      <c r="Q2" s="2"/>
      <c r="R2" s="2"/>
      <c r="S2" s="2"/>
      <c r="T2" s="2"/>
    </row>
    <row r="3">
      <c r="A3" s="90"/>
      <c r="B3" s="91" t="s">
        <v>8</v>
      </c>
      <c r="C3" s="92"/>
      <c r="D3" s="93"/>
      <c r="E3" s="89" t="s">
        <v>240</v>
      </c>
      <c r="F3" s="89" t="s">
        <v>241</v>
      </c>
      <c r="G3" s="89" t="s">
        <v>242</v>
      </c>
      <c r="H3" s="89" t="s">
        <v>243</v>
      </c>
      <c r="I3" s="89" t="s">
        <v>244</v>
      </c>
      <c r="J3" s="89" t="s">
        <v>245</v>
      </c>
      <c r="K3" s="89"/>
      <c r="L3" s="89"/>
      <c r="M3" s="89"/>
      <c r="N3" s="89"/>
      <c r="O3" s="90"/>
      <c r="P3" s="90"/>
      <c r="Q3" s="90"/>
      <c r="R3" s="90"/>
      <c r="S3" s="90"/>
      <c r="T3" s="90"/>
    </row>
    <row r="4">
      <c r="A4" s="94"/>
      <c r="B4" s="95" t="s">
        <v>125</v>
      </c>
      <c r="C4" s="96"/>
      <c r="D4" s="97"/>
      <c r="E4" s="98" t="s">
        <v>246</v>
      </c>
      <c r="F4" s="99" t="s">
        <v>247</v>
      </c>
      <c r="G4" s="99" t="s">
        <v>248</v>
      </c>
      <c r="H4" s="99" t="s">
        <v>249</v>
      </c>
      <c r="I4" s="99" t="s">
        <v>250</v>
      </c>
      <c r="J4" s="99" t="s">
        <v>251</v>
      </c>
      <c r="K4" s="99"/>
      <c r="L4" s="100"/>
      <c r="M4" s="99"/>
      <c r="N4" s="94"/>
      <c r="O4" s="94"/>
      <c r="P4" s="94"/>
      <c r="Q4" s="94"/>
      <c r="R4" s="94"/>
      <c r="S4" s="94"/>
      <c r="T4" s="94"/>
    </row>
    <row r="5">
      <c r="D5" s="1"/>
    </row>
    <row r="6">
      <c r="B6" s="20" t="s">
        <v>16</v>
      </c>
      <c r="C6" s="20"/>
      <c r="D6" s="21"/>
      <c r="E6" s="22"/>
      <c r="F6" s="22"/>
      <c r="G6" s="22"/>
      <c r="H6" s="22"/>
      <c r="I6" s="22"/>
      <c r="J6" s="22"/>
      <c r="K6" s="22"/>
      <c r="L6" s="22"/>
      <c r="M6" s="22"/>
      <c r="N6" s="22"/>
      <c r="O6" s="22"/>
    </row>
    <row r="7">
      <c r="A7" s="23"/>
      <c r="B7" s="24" t="s">
        <v>252</v>
      </c>
      <c r="C7" s="25"/>
      <c r="D7" s="26"/>
      <c r="E7" s="27" t="s">
        <v>18</v>
      </c>
      <c r="F7" s="27" t="s">
        <v>18</v>
      </c>
      <c r="G7" s="27" t="s">
        <v>18</v>
      </c>
      <c r="H7" s="27" t="s">
        <v>18</v>
      </c>
      <c r="I7" s="27" t="s">
        <v>18</v>
      </c>
      <c r="J7" s="27" t="s">
        <v>19</v>
      </c>
      <c r="K7" s="23"/>
      <c r="L7" s="23"/>
      <c r="M7" s="23"/>
      <c r="N7" s="23"/>
      <c r="O7" s="23"/>
      <c r="P7" s="23"/>
      <c r="Q7" s="23"/>
      <c r="R7" s="23"/>
      <c r="S7" s="23"/>
      <c r="T7" s="23"/>
    </row>
    <row r="8">
      <c r="A8" s="23"/>
      <c r="B8" s="24" t="s">
        <v>20</v>
      </c>
      <c r="C8" s="25"/>
      <c r="D8" s="28" t="s">
        <v>21</v>
      </c>
      <c r="E8" s="42" t="s">
        <v>58</v>
      </c>
      <c r="F8" s="42" t="s">
        <v>19</v>
      </c>
      <c r="G8" s="42" t="s">
        <v>19</v>
      </c>
      <c r="H8" s="42" t="s">
        <v>19</v>
      </c>
      <c r="I8" s="42" t="s">
        <v>19</v>
      </c>
      <c r="J8" s="42" t="s">
        <v>19</v>
      </c>
      <c r="K8" s="23"/>
      <c r="L8" s="23"/>
      <c r="M8" s="23"/>
      <c r="N8" s="23"/>
      <c r="O8" s="23"/>
      <c r="P8" s="23"/>
      <c r="Q8" s="23"/>
      <c r="R8" s="23"/>
      <c r="S8" s="23"/>
      <c r="T8" s="23"/>
    </row>
    <row r="9">
      <c r="A9" s="23"/>
      <c r="B9" s="24" t="s">
        <v>253</v>
      </c>
      <c r="C9" s="25"/>
      <c r="D9" s="28" t="s">
        <v>254</v>
      </c>
      <c r="E9" s="32" t="s">
        <v>255</v>
      </c>
      <c r="F9" s="32" t="s">
        <v>256</v>
      </c>
      <c r="G9" s="32" t="s">
        <v>257</v>
      </c>
      <c r="H9" s="32" t="s">
        <v>257</v>
      </c>
      <c r="I9" s="32" t="s">
        <v>255</v>
      </c>
      <c r="J9" s="32" t="s">
        <v>257</v>
      </c>
      <c r="K9" s="23"/>
      <c r="L9" s="23"/>
      <c r="M9" s="23"/>
      <c r="N9" s="23"/>
      <c r="O9" s="23"/>
      <c r="P9" s="23"/>
      <c r="Q9" s="23"/>
      <c r="R9" s="23"/>
      <c r="S9" s="23"/>
      <c r="T9" s="23"/>
    </row>
    <row r="10">
      <c r="A10" s="23"/>
      <c r="B10" s="24" t="s">
        <v>22</v>
      </c>
      <c r="C10" s="25"/>
      <c r="D10" s="28" t="s">
        <v>139</v>
      </c>
      <c r="E10" s="27" t="s">
        <v>18</v>
      </c>
      <c r="F10" s="27" t="s">
        <v>19</v>
      </c>
      <c r="G10" s="27" t="s">
        <v>19</v>
      </c>
      <c r="H10" s="27" t="s">
        <v>19</v>
      </c>
      <c r="I10" s="27" t="s">
        <v>19</v>
      </c>
      <c r="J10" s="27" t="s">
        <v>19</v>
      </c>
      <c r="K10" s="23"/>
      <c r="L10" s="23"/>
      <c r="M10" s="23"/>
      <c r="N10" s="23"/>
      <c r="O10" s="23"/>
      <c r="P10" s="23"/>
      <c r="Q10" s="23"/>
      <c r="R10" s="23"/>
      <c r="S10" s="23"/>
      <c r="T10" s="23"/>
    </row>
    <row r="11">
      <c r="A11" s="23"/>
      <c r="B11" s="24" t="s">
        <v>24</v>
      </c>
      <c r="C11" s="25"/>
      <c r="D11" s="28" t="s">
        <v>25</v>
      </c>
      <c r="E11" s="27" t="s">
        <v>18</v>
      </c>
      <c r="F11" s="27" t="s">
        <v>19</v>
      </c>
      <c r="G11" s="27" t="s">
        <v>19</v>
      </c>
      <c r="H11" s="27" t="s">
        <v>19</v>
      </c>
      <c r="I11" s="27" t="s">
        <v>19</v>
      </c>
      <c r="J11" s="27" t="s">
        <v>19</v>
      </c>
      <c r="K11" s="23"/>
      <c r="L11" s="23"/>
      <c r="M11" s="23"/>
      <c r="N11" s="23"/>
      <c r="O11" s="23"/>
      <c r="P11" s="23"/>
      <c r="Q11" s="23"/>
      <c r="R11" s="23"/>
      <c r="S11" s="23"/>
      <c r="T11" s="23"/>
    </row>
    <row r="12">
      <c r="A12" s="23"/>
      <c r="B12" s="24" t="s">
        <v>27</v>
      </c>
      <c r="C12" s="25"/>
      <c r="D12" s="28" t="s">
        <v>28</v>
      </c>
      <c r="E12" s="27" t="s">
        <v>19</v>
      </c>
      <c r="F12" s="27" t="s">
        <v>19</v>
      </c>
      <c r="G12" s="27" t="s">
        <v>19</v>
      </c>
      <c r="H12" s="27" t="s">
        <v>19</v>
      </c>
      <c r="I12" s="27" t="s">
        <v>19</v>
      </c>
      <c r="J12" s="27" t="s">
        <v>19</v>
      </c>
      <c r="K12" s="23"/>
      <c r="L12" s="23"/>
      <c r="M12" s="23"/>
      <c r="N12" s="23"/>
      <c r="O12" s="23"/>
      <c r="P12" s="23"/>
      <c r="Q12" s="23"/>
      <c r="R12" s="23"/>
      <c r="S12" s="23"/>
      <c r="T12" s="23"/>
    </row>
    <row r="13">
      <c r="A13" s="23"/>
      <c r="B13" s="24" t="s">
        <v>29</v>
      </c>
      <c r="C13" s="25"/>
      <c r="D13" s="28" t="s">
        <v>30</v>
      </c>
      <c r="E13" s="27" t="s">
        <v>18</v>
      </c>
      <c r="F13" s="27" t="s">
        <v>18</v>
      </c>
      <c r="G13" s="27" t="s">
        <v>18</v>
      </c>
      <c r="H13" s="27" t="s">
        <v>18</v>
      </c>
      <c r="I13" s="27" t="s">
        <v>19</v>
      </c>
      <c r="J13" s="27" t="s">
        <v>19</v>
      </c>
      <c r="K13" s="23"/>
      <c r="L13" s="23"/>
      <c r="M13" s="23"/>
      <c r="N13" s="23"/>
      <c r="O13" s="23"/>
      <c r="P13" s="23"/>
      <c r="Q13" s="23"/>
      <c r="R13" s="23"/>
      <c r="S13" s="23"/>
      <c r="T13" s="23"/>
    </row>
    <row r="14">
      <c r="A14" s="23"/>
      <c r="B14" s="24" t="s">
        <v>31</v>
      </c>
      <c r="C14" s="25"/>
      <c r="D14" s="26"/>
      <c r="E14" s="27" t="s">
        <v>258</v>
      </c>
      <c r="F14" s="27" t="s">
        <v>259</v>
      </c>
      <c r="G14" s="27" t="s">
        <v>259</v>
      </c>
      <c r="H14" s="27" t="s">
        <v>259</v>
      </c>
      <c r="I14" s="27" t="s">
        <v>259</v>
      </c>
      <c r="J14" s="27" t="s">
        <v>259</v>
      </c>
      <c r="K14" s="23"/>
      <c r="L14" s="23"/>
      <c r="M14" s="23"/>
      <c r="N14" s="23"/>
      <c r="O14" s="23"/>
      <c r="P14" s="23"/>
      <c r="Q14" s="23"/>
      <c r="R14" s="23"/>
      <c r="S14" s="23"/>
      <c r="T14" s="23"/>
    </row>
    <row r="15" collapsed="1">
      <c r="A15" s="23"/>
      <c r="B15" s="24" t="s">
        <v>34</v>
      </c>
      <c r="C15" s="25"/>
      <c r="D15" s="28" t="s">
        <v>260</v>
      </c>
      <c r="E15" s="30"/>
      <c r="F15" s="30"/>
      <c r="G15" s="30"/>
      <c r="H15" s="30"/>
      <c r="I15" s="30"/>
      <c r="J15" s="30"/>
      <c r="K15" s="23"/>
      <c r="L15" s="23"/>
      <c r="M15" s="23"/>
      <c r="N15" s="23"/>
      <c r="O15" s="23"/>
      <c r="P15" s="23"/>
      <c r="Q15" s="23"/>
      <c r="R15" s="23"/>
      <c r="S15" s="23"/>
      <c r="T15" s="23"/>
    </row>
    <row r="16" hidden="1" outlineLevel="1">
      <c r="A16" s="23"/>
      <c r="C16" s="31" t="s">
        <v>36</v>
      </c>
      <c r="D16" s="28"/>
      <c r="E16" s="27"/>
      <c r="F16" s="27"/>
      <c r="G16" s="27"/>
      <c r="H16" s="27"/>
      <c r="I16" s="27"/>
      <c r="J16" s="27"/>
      <c r="K16" s="23"/>
      <c r="L16" s="23"/>
      <c r="M16" s="23"/>
      <c r="N16" s="23"/>
      <c r="O16" s="23"/>
      <c r="P16" s="23"/>
      <c r="Q16" s="23"/>
      <c r="R16" s="23"/>
      <c r="S16" s="23"/>
      <c r="T16" s="23"/>
    </row>
    <row r="17" hidden="1" outlineLevel="1">
      <c r="A17" s="23"/>
      <c r="C17" s="31" t="s">
        <v>39</v>
      </c>
      <c r="D17" s="32"/>
      <c r="E17" s="32"/>
      <c r="F17" s="32"/>
      <c r="G17" s="32"/>
      <c r="H17" s="32"/>
      <c r="I17" s="32"/>
      <c r="J17" s="32"/>
      <c r="K17" s="23"/>
      <c r="L17" s="23"/>
      <c r="M17" s="23"/>
      <c r="N17" s="23"/>
      <c r="O17" s="23"/>
      <c r="P17" s="23"/>
      <c r="Q17" s="23"/>
      <c r="R17" s="23"/>
      <c r="S17" s="23"/>
      <c r="T17" s="23"/>
    </row>
    <row r="18" hidden="1" outlineLevel="1">
      <c r="A18" s="23"/>
      <c r="C18" s="31" t="s">
        <v>42</v>
      </c>
      <c r="D18" s="28"/>
      <c r="E18" s="27"/>
      <c r="F18" s="27"/>
      <c r="G18" s="27"/>
      <c r="H18" s="27"/>
      <c r="I18" s="27"/>
      <c r="J18" s="27"/>
      <c r="K18" s="23"/>
      <c r="L18" s="23"/>
      <c r="M18" s="23"/>
      <c r="N18" s="23"/>
      <c r="O18" s="23"/>
      <c r="P18" s="23"/>
      <c r="Q18" s="23"/>
      <c r="R18" s="23"/>
      <c r="S18" s="23"/>
      <c r="T18" s="23"/>
    </row>
    <row r="19" hidden="1" outlineLevel="1">
      <c r="A19" s="23"/>
      <c r="C19" s="31" t="s">
        <v>46</v>
      </c>
      <c r="D19" s="26"/>
      <c r="E19" s="27"/>
      <c r="F19" s="27"/>
      <c r="G19" s="27"/>
      <c r="H19" s="27"/>
      <c r="I19" s="27"/>
      <c r="J19" s="27"/>
      <c r="K19" s="23"/>
      <c r="L19" s="23"/>
      <c r="M19" s="23"/>
      <c r="N19" s="23"/>
      <c r="O19" s="23"/>
      <c r="P19" s="23"/>
      <c r="Q19" s="23"/>
      <c r="R19" s="23"/>
      <c r="S19" s="23"/>
      <c r="T19" s="23"/>
    </row>
    <row r="20">
      <c r="A20" s="23"/>
      <c r="B20" s="24" t="s">
        <v>50</v>
      </c>
      <c r="C20" s="25"/>
      <c r="D20" s="28" t="s">
        <v>167</v>
      </c>
      <c r="E20" s="30"/>
      <c r="F20" s="30"/>
      <c r="G20" s="30"/>
      <c r="H20" s="30"/>
      <c r="I20" s="30"/>
      <c r="J20" s="30"/>
      <c r="K20" s="23"/>
      <c r="L20" s="23"/>
      <c r="M20" s="23"/>
      <c r="N20" s="23"/>
      <c r="O20" s="23"/>
      <c r="P20" s="23"/>
      <c r="Q20" s="23"/>
      <c r="R20" s="23"/>
      <c r="S20" s="23"/>
      <c r="T20" s="23"/>
    </row>
    <row r="21" outlineLevel="1">
      <c r="A21" s="23"/>
      <c r="B21" s="24"/>
      <c r="C21" s="33" t="s">
        <v>261</v>
      </c>
      <c r="D21" s="28"/>
      <c r="E21" s="27" t="s">
        <v>19</v>
      </c>
      <c r="F21" s="27" t="s">
        <v>19</v>
      </c>
      <c r="G21" s="27" t="s">
        <v>19</v>
      </c>
      <c r="H21" s="27" t="s">
        <v>19</v>
      </c>
      <c r="I21" s="27" t="s">
        <v>19</v>
      </c>
      <c r="J21" s="27" t="s">
        <v>19</v>
      </c>
      <c r="K21" s="23"/>
      <c r="L21" s="23"/>
      <c r="M21" s="23"/>
      <c r="N21" s="23"/>
      <c r="O21" s="23"/>
      <c r="P21" s="23"/>
      <c r="Q21" s="23"/>
      <c r="R21" s="23"/>
      <c r="S21" s="23"/>
      <c r="T21" s="23"/>
    </row>
    <row r="22" outlineLevel="1">
      <c r="A22" s="23"/>
      <c r="B22" s="24"/>
      <c r="C22" s="33" t="s">
        <v>262</v>
      </c>
      <c r="D22" s="28"/>
      <c r="E22" s="27"/>
      <c r="F22" s="27" t="s">
        <v>19</v>
      </c>
      <c r="G22" s="27" t="s">
        <v>19</v>
      </c>
      <c r="H22" s="27" t="s">
        <v>19</v>
      </c>
      <c r="I22" s="27" t="s">
        <v>19</v>
      </c>
      <c r="J22" s="27" t="s">
        <v>19</v>
      </c>
      <c r="K22" s="23"/>
      <c r="L22" s="23"/>
      <c r="M22" s="23"/>
      <c r="N22" s="23"/>
      <c r="O22" s="23"/>
      <c r="P22" s="23"/>
      <c r="Q22" s="23"/>
      <c r="R22" s="23"/>
      <c r="S22" s="23"/>
      <c r="T22" s="23"/>
    </row>
    <row r="23" outlineLevel="1">
      <c r="A23" s="23"/>
      <c r="B23" s="24"/>
      <c r="C23" s="33" t="s">
        <v>263</v>
      </c>
      <c r="D23" s="28"/>
      <c r="E23" s="27"/>
      <c r="F23" s="27" t="s">
        <v>58</v>
      </c>
      <c r="G23" s="27" t="s">
        <v>19</v>
      </c>
      <c r="H23" s="27" t="s">
        <v>19</v>
      </c>
      <c r="I23" s="27" t="s">
        <v>58</v>
      </c>
      <c r="J23" s="27" t="s">
        <v>58</v>
      </c>
      <c r="K23" s="23"/>
      <c r="L23" s="23"/>
      <c r="M23" s="23"/>
      <c r="N23" s="23"/>
      <c r="O23" s="23"/>
      <c r="P23" s="23"/>
      <c r="Q23" s="23"/>
      <c r="R23" s="23"/>
      <c r="S23" s="23"/>
      <c r="T23" s="23"/>
    </row>
    <row r="24">
      <c r="A24" s="23"/>
      <c r="B24" s="24" t="s">
        <v>264</v>
      </c>
      <c r="C24" s="34"/>
      <c r="D24" s="26"/>
      <c r="E24" s="27" t="s">
        <v>265</v>
      </c>
      <c r="F24" s="27" t="s">
        <v>266</v>
      </c>
      <c r="G24" s="27" t="s">
        <v>267</v>
      </c>
      <c r="H24" s="27" t="s">
        <v>267</v>
      </c>
      <c r="I24" s="27" t="s">
        <v>265</v>
      </c>
      <c r="J24" s="27" t="s">
        <v>268</v>
      </c>
      <c r="K24" s="23"/>
      <c r="L24" s="23"/>
      <c r="M24" s="23"/>
      <c r="N24" s="23"/>
      <c r="O24" s="23"/>
      <c r="P24" s="23"/>
      <c r="Q24" s="23"/>
      <c r="R24" s="23"/>
      <c r="S24" s="23"/>
      <c r="T24" s="23"/>
    </row>
    <row r="25">
      <c r="A25" s="23"/>
      <c r="B25" s="24" t="s">
        <v>269</v>
      </c>
      <c r="C25" s="34"/>
      <c r="D25" s="26"/>
      <c r="E25" s="27" t="s">
        <v>270</v>
      </c>
      <c r="F25" s="27" t="s">
        <v>270</v>
      </c>
      <c r="G25" s="27" t="s">
        <v>271</v>
      </c>
      <c r="H25" s="27" t="s">
        <v>271</v>
      </c>
      <c r="I25" s="27" t="s">
        <v>272</v>
      </c>
      <c r="J25" s="27" t="s">
        <v>101</v>
      </c>
      <c r="K25" s="23"/>
      <c r="L25" s="23"/>
      <c r="M25" s="23"/>
      <c r="N25" s="23"/>
      <c r="O25" s="23"/>
      <c r="P25" s="23"/>
      <c r="Q25" s="23"/>
      <c r="R25" s="23"/>
      <c r="S25" s="23"/>
      <c r="T25" s="23"/>
    </row>
    <row r="26">
      <c r="A26" s="23"/>
      <c r="B26" s="25"/>
      <c r="C26" s="34"/>
      <c r="D26" s="26"/>
      <c r="E26" s="23"/>
      <c r="F26" s="23"/>
      <c r="G26" s="23"/>
      <c r="H26" s="23"/>
      <c r="I26" s="23"/>
      <c r="J26" s="23"/>
      <c r="K26" s="23"/>
      <c r="L26" s="23"/>
      <c r="M26" s="23"/>
      <c r="N26" s="23"/>
      <c r="O26" s="23"/>
      <c r="P26" s="23"/>
      <c r="Q26" s="23"/>
      <c r="R26" s="23"/>
      <c r="S26" s="23"/>
      <c r="T26" s="23"/>
    </row>
    <row r="27">
      <c r="B27" s="35" t="s">
        <v>56</v>
      </c>
      <c r="C27" s="35"/>
      <c r="D27" s="36"/>
      <c r="E27" s="37"/>
      <c r="F27" s="37"/>
      <c r="G27" s="37"/>
      <c r="H27" s="37"/>
      <c r="I27" s="37"/>
      <c r="J27" s="37"/>
      <c r="K27" s="37"/>
      <c r="L27" s="37"/>
      <c r="M27" s="37"/>
      <c r="N27" s="37"/>
      <c r="O27" s="37"/>
    </row>
    <row r="28" collapsed="1">
      <c r="A28" s="38"/>
      <c r="B28" s="39" t="s">
        <v>57</v>
      </c>
      <c r="C28" s="40"/>
      <c r="D28" s="41"/>
      <c r="E28" s="42"/>
      <c r="F28" s="42"/>
      <c r="G28" s="42"/>
      <c r="H28" s="42"/>
      <c r="I28" s="42" t="s">
        <v>18</v>
      </c>
      <c r="J28" s="42" t="s">
        <v>19</v>
      </c>
      <c r="K28" s="38"/>
      <c r="L28" s="38"/>
      <c r="M28" s="38"/>
      <c r="N28" s="38"/>
      <c r="O28" s="38"/>
      <c r="P28" s="38"/>
      <c r="Q28" s="38"/>
      <c r="R28" s="38"/>
      <c r="S28" s="38"/>
      <c r="T28" s="38"/>
    </row>
    <row r="29" hidden="1" outlineLevel="1">
      <c r="A29" s="23"/>
      <c r="C29" s="31" t="s">
        <v>59</v>
      </c>
      <c r="D29" s="28" t="s">
        <v>60</v>
      </c>
      <c r="E29" s="27"/>
      <c r="F29" s="27"/>
      <c r="G29" s="27"/>
      <c r="H29" s="27"/>
      <c r="I29" s="27"/>
      <c r="J29" s="27"/>
      <c r="K29" s="23"/>
      <c r="L29" s="23"/>
      <c r="M29" s="23"/>
      <c r="N29" s="23"/>
      <c r="O29" s="23"/>
      <c r="P29" s="23"/>
      <c r="Q29" s="23"/>
      <c r="R29" s="23"/>
      <c r="S29" s="23"/>
      <c r="T29" s="23"/>
    </row>
    <row r="30" hidden="1" outlineLevel="1">
      <c r="A30" s="23"/>
      <c r="C30" s="31" t="s">
        <v>273</v>
      </c>
      <c r="D30" s="28" t="s">
        <v>62</v>
      </c>
      <c r="E30" s="27"/>
      <c r="F30" s="27"/>
      <c r="G30" s="27"/>
      <c r="H30" s="27"/>
      <c r="I30" s="27"/>
      <c r="J30" s="27"/>
      <c r="K30" s="23"/>
      <c r="L30" s="23"/>
      <c r="M30" s="23"/>
      <c r="N30" s="23"/>
      <c r="O30" s="23"/>
      <c r="P30" s="23"/>
      <c r="Q30" s="23"/>
      <c r="R30" s="23"/>
      <c r="S30" s="23"/>
      <c r="T30" s="23"/>
    </row>
    <row r="31" hidden="1" outlineLevel="1">
      <c r="A31" s="23"/>
      <c r="C31" s="31" t="s">
        <v>63</v>
      </c>
      <c r="D31" s="28" t="s">
        <v>64</v>
      </c>
      <c r="E31" s="27"/>
      <c r="F31" s="27"/>
      <c r="G31" s="27"/>
      <c r="H31" s="27"/>
      <c r="I31" s="27"/>
      <c r="J31" s="27"/>
      <c r="K31" s="23"/>
      <c r="L31" s="23"/>
      <c r="M31" s="23"/>
      <c r="N31" s="23"/>
      <c r="O31" s="23"/>
      <c r="P31" s="23"/>
      <c r="Q31" s="23"/>
      <c r="R31" s="23"/>
      <c r="S31" s="23"/>
      <c r="T31" s="23"/>
    </row>
    <row r="32" hidden="1" outlineLevel="1">
      <c r="A32" s="23"/>
      <c r="C32" s="31" t="s">
        <v>65</v>
      </c>
      <c r="D32" s="28" t="s">
        <v>66</v>
      </c>
      <c r="E32" s="27"/>
      <c r="F32" s="27"/>
      <c r="G32" s="27"/>
      <c r="H32" s="27"/>
      <c r="I32" s="27"/>
      <c r="J32" s="27"/>
      <c r="K32" s="23"/>
      <c r="L32" s="23"/>
      <c r="M32" s="23"/>
      <c r="N32" s="23"/>
      <c r="O32" s="23"/>
      <c r="P32" s="23"/>
      <c r="Q32" s="23"/>
      <c r="R32" s="23"/>
      <c r="S32" s="23"/>
      <c r="T32" s="23"/>
    </row>
    <row r="33" hidden="1" outlineLevel="1">
      <c r="A33" s="23"/>
      <c r="C33" s="31" t="s">
        <v>67</v>
      </c>
      <c r="D33" s="28" t="s">
        <v>274</v>
      </c>
      <c r="E33" s="27"/>
      <c r="F33" s="27"/>
      <c r="G33" s="27"/>
      <c r="H33" s="27"/>
      <c r="I33" s="27"/>
      <c r="J33" s="27"/>
      <c r="K33" s="23"/>
      <c r="L33" s="23"/>
      <c r="M33" s="23"/>
      <c r="N33" s="23"/>
      <c r="O33" s="23"/>
      <c r="P33" s="23"/>
      <c r="Q33" s="23"/>
      <c r="R33" s="23"/>
      <c r="S33" s="23"/>
      <c r="T33" s="23"/>
    </row>
    <row r="34">
      <c r="A34" s="38"/>
      <c r="B34" s="39" t="s">
        <v>69</v>
      </c>
      <c r="C34" s="40"/>
      <c r="D34" s="43" t="s">
        <v>70</v>
      </c>
      <c r="E34" s="42" t="s">
        <v>18</v>
      </c>
      <c r="F34" s="42" t="s">
        <v>58</v>
      </c>
      <c r="G34" s="42" t="s">
        <v>19</v>
      </c>
      <c r="H34" s="42" t="s">
        <v>19</v>
      </c>
      <c r="I34" s="42" t="s">
        <v>58</v>
      </c>
      <c r="J34" s="42" t="s">
        <v>19</v>
      </c>
      <c r="K34" s="38"/>
      <c r="L34" s="38"/>
      <c r="M34" s="38"/>
      <c r="N34" s="38"/>
      <c r="O34" s="38"/>
      <c r="P34" s="38"/>
      <c r="Q34" s="38"/>
      <c r="R34" s="38"/>
      <c r="S34" s="38"/>
      <c r="T34" s="38"/>
    </row>
    <row r="35">
      <c r="A35" s="38"/>
      <c r="B35" s="39" t="s">
        <v>73</v>
      </c>
      <c r="C35" s="40"/>
      <c r="D35" s="43" t="s">
        <v>74</v>
      </c>
      <c r="E35" s="42" t="s">
        <v>19</v>
      </c>
      <c r="F35" s="42" t="s">
        <v>19</v>
      </c>
      <c r="G35" s="42" t="s">
        <v>19</v>
      </c>
      <c r="H35" s="42" t="s">
        <v>19</v>
      </c>
      <c r="I35" s="42" t="s">
        <v>19</v>
      </c>
      <c r="J35" s="42" t="s">
        <v>19</v>
      </c>
      <c r="K35" s="38"/>
      <c r="L35" s="38"/>
      <c r="M35" s="38"/>
      <c r="N35" s="38"/>
      <c r="O35" s="38"/>
      <c r="P35" s="38"/>
      <c r="Q35" s="38"/>
      <c r="R35" s="38"/>
      <c r="S35" s="38"/>
      <c r="T35" s="38"/>
    </row>
    <row r="36">
      <c r="A36" s="38"/>
      <c r="B36" s="39" t="s">
        <v>75</v>
      </c>
      <c r="C36" s="40"/>
      <c r="D36" s="43" t="s">
        <v>76</v>
      </c>
      <c r="E36" s="42" t="s">
        <v>19</v>
      </c>
      <c r="F36" s="42" t="s">
        <v>19</v>
      </c>
      <c r="G36" s="42" t="s">
        <v>19</v>
      </c>
      <c r="H36" s="42" t="s">
        <v>19</v>
      </c>
      <c r="I36" s="42" t="s">
        <v>19</v>
      </c>
      <c r="J36" s="42" t="s">
        <v>19</v>
      </c>
      <c r="K36" s="38"/>
      <c r="L36" s="38"/>
      <c r="M36" s="38"/>
      <c r="N36" s="38"/>
      <c r="O36" s="38"/>
      <c r="P36" s="38"/>
      <c r="Q36" s="38"/>
      <c r="R36" s="38"/>
      <c r="S36" s="38"/>
      <c r="T36" s="38"/>
    </row>
    <row r="37">
      <c r="A37" s="38"/>
      <c r="B37" s="39" t="s">
        <v>275</v>
      </c>
      <c r="C37" s="40"/>
      <c r="D37" s="43" t="s">
        <v>276</v>
      </c>
      <c r="E37" s="42" t="s">
        <v>58</v>
      </c>
      <c r="F37" s="42" t="s">
        <v>19</v>
      </c>
      <c r="G37" s="42" t="s">
        <v>19</v>
      </c>
      <c r="H37" s="42" t="s">
        <v>19</v>
      </c>
      <c r="I37" s="42" t="s">
        <v>19</v>
      </c>
      <c r="J37" s="42" t="s">
        <v>19</v>
      </c>
      <c r="K37" s="38"/>
      <c r="L37" s="38"/>
      <c r="M37" s="38"/>
      <c r="N37" s="38"/>
      <c r="O37" s="38"/>
      <c r="P37" s="38"/>
      <c r="Q37" s="38"/>
      <c r="R37" s="38"/>
      <c r="S37" s="38"/>
      <c r="T37" s="38"/>
    </row>
    <row r="38">
      <c r="A38" s="38"/>
      <c r="B38" s="39" t="s">
        <v>277</v>
      </c>
      <c r="C38" s="40"/>
      <c r="D38" s="43" t="s">
        <v>278</v>
      </c>
      <c r="E38" s="42" t="s">
        <v>19</v>
      </c>
      <c r="F38" s="42" t="s">
        <v>19</v>
      </c>
      <c r="G38" s="42" t="s">
        <v>19</v>
      </c>
      <c r="H38" s="42" t="s">
        <v>19</v>
      </c>
      <c r="I38" s="42" t="s">
        <v>19</v>
      </c>
      <c r="J38" s="42" t="s">
        <v>19</v>
      </c>
      <c r="K38" s="38"/>
      <c r="L38" s="38"/>
      <c r="M38" s="38"/>
      <c r="N38" s="38"/>
      <c r="O38" s="38"/>
      <c r="P38" s="38"/>
      <c r="Q38" s="38"/>
      <c r="R38" s="38"/>
      <c r="S38" s="38"/>
      <c r="T38" s="38"/>
    </row>
    <row r="39">
      <c r="A39" s="38"/>
      <c r="B39" s="39" t="s">
        <v>279</v>
      </c>
      <c r="C39" s="40"/>
      <c r="D39" s="43" t="s">
        <v>280</v>
      </c>
      <c r="E39" s="42" t="s">
        <v>281</v>
      </c>
      <c r="F39" s="42" t="s">
        <v>281</v>
      </c>
      <c r="G39" s="42" t="s">
        <v>281</v>
      </c>
      <c r="H39" s="42" t="s">
        <v>281</v>
      </c>
      <c r="I39" s="42" t="s">
        <v>18</v>
      </c>
      <c r="J39" s="42" t="s">
        <v>19</v>
      </c>
      <c r="K39" s="38"/>
      <c r="L39" s="38"/>
      <c r="M39" s="38"/>
      <c r="N39" s="38"/>
      <c r="O39" s="38"/>
      <c r="P39" s="38"/>
      <c r="Q39" s="38"/>
      <c r="R39" s="38"/>
      <c r="S39" s="38"/>
      <c r="T39" s="38"/>
    </row>
    <row r="40">
      <c r="A40" s="38"/>
      <c r="B40" s="39" t="s">
        <v>282</v>
      </c>
      <c r="C40" s="40"/>
      <c r="D40" s="41"/>
      <c r="E40" s="42" t="s">
        <v>18</v>
      </c>
      <c r="F40" s="42" t="s">
        <v>19</v>
      </c>
      <c r="G40" s="42" t="s">
        <v>19</v>
      </c>
      <c r="H40" s="42" t="s">
        <v>19</v>
      </c>
      <c r="I40" s="42" t="s">
        <v>18</v>
      </c>
      <c r="J40" s="42" t="s">
        <v>19</v>
      </c>
      <c r="K40" s="38"/>
      <c r="L40" s="38"/>
      <c r="M40" s="38"/>
      <c r="N40" s="38"/>
      <c r="O40" s="38"/>
      <c r="P40" s="38"/>
      <c r="Q40" s="38"/>
      <c r="R40" s="38"/>
      <c r="S40" s="38"/>
      <c r="T40" s="38"/>
    </row>
    <row r="41">
      <c r="A41" s="38"/>
      <c r="B41" s="39" t="s">
        <v>214</v>
      </c>
      <c r="C41" s="40"/>
      <c r="D41" s="41"/>
      <c r="E41" s="42" t="s">
        <v>18</v>
      </c>
      <c r="F41" s="42" t="s">
        <v>18</v>
      </c>
      <c r="G41" s="42" t="s">
        <v>18</v>
      </c>
      <c r="H41" s="42" t="s">
        <v>18</v>
      </c>
      <c r="I41" s="42" t="s">
        <v>18</v>
      </c>
      <c r="J41" s="42" t="s">
        <v>204</v>
      </c>
      <c r="K41" s="38"/>
      <c r="L41" s="38"/>
      <c r="M41" s="38"/>
      <c r="N41" s="38"/>
      <c r="O41" s="38"/>
      <c r="P41" s="38"/>
      <c r="Q41" s="38"/>
      <c r="R41" s="38"/>
      <c r="S41" s="38"/>
      <c r="T41" s="38"/>
    </row>
    <row r="42">
      <c r="A42" s="38"/>
      <c r="B42" s="39" t="s">
        <v>215</v>
      </c>
      <c r="C42" s="40"/>
      <c r="D42" s="41"/>
      <c r="E42" s="42" t="s">
        <v>18</v>
      </c>
      <c r="F42" s="42" t="s">
        <v>18</v>
      </c>
      <c r="G42" s="42" t="s">
        <v>18</v>
      </c>
      <c r="H42" s="42" t="s">
        <v>18</v>
      </c>
      <c r="I42" s="42" t="s">
        <v>18</v>
      </c>
      <c r="J42" s="42" t="s">
        <v>204</v>
      </c>
      <c r="K42" s="38"/>
      <c r="L42" s="38"/>
      <c r="M42" s="38"/>
      <c r="N42" s="38"/>
      <c r="O42" s="38"/>
      <c r="P42" s="38"/>
      <c r="Q42" s="38"/>
      <c r="R42" s="38"/>
      <c r="S42" s="38"/>
      <c r="T42" s="38"/>
    </row>
    <row r="43">
      <c r="A43" s="38"/>
      <c r="B43" s="39" t="s">
        <v>223</v>
      </c>
      <c r="C43" s="40"/>
      <c r="D43" s="43" t="s">
        <v>283</v>
      </c>
      <c r="E43" s="42" t="s">
        <v>18</v>
      </c>
      <c r="F43" s="42" t="s">
        <v>58</v>
      </c>
      <c r="G43" s="42" t="s">
        <v>19</v>
      </c>
      <c r="H43" s="42" t="s">
        <v>19</v>
      </c>
      <c r="I43" s="42" t="s">
        <v>18</v>
      </c>
      <c r="J43" s="42" t="s">
        <v>19</v>
      </c>
      <c r="K43" s="38"/>
      <c r="L43" s="38"/>
      <c r="M43" s="38"/>
      <c r="N43" s="38"/>
      <c r="O43" s="38"/>
      <c r="P43" s="38"/>
      <c r="Q43" s="38"/>
      <c r="R43" s="38"/>
      <c r="S43" s="38"/>
      <c r="T43" s="38"/>
    </row>
    <row r="44">
      <c r="A44" s="38"/>
      <c r="B44" s="39" t="s">
        <v>220</v>
      </c>
      <c r="C44" s="40"/>
      <c r="D44" s="43" t="s">
        <v>284</v>
      </c>
      <c r="E44" s="42"/>
      <c r="F44" s="42"/>
      <c r="G44" s="42"/>
      <c r="H44" s="42"/>
      <c r="I44" s="42" t="s">
        <v>19</v>
      </c>
      <c r="J44" s="42" t="s">
        <v>19</v>
      </c>
      <c r="K44" s="38"/>
      <c r="L44" s="38"/>
      <c r="M44" s="38"/>
      <c r="N44" s="38"/>
      <c r="O44" s="38"/>
      <c r="P44" s="38"/>
      <c r="Q44" s="38"/>
      <c r="R44" s="38"/>
      <c r="S44" s="38"/>
      <c r="T44" s="38"/>
    </row>
    <row r="45">
      <c r="A45" s="38"/>
      <c r="B45" s="39" t="s">
        <v>222</v>
      </c>
      <c r="C45" s="40"/>
      <c r="D45" s="41"/>
      <c r="E45" s="42" t="s">
        <v>19</v>
      </c>
      <c r="F45" s="42" t="s">
        <v>19</v>
      </c>
      <c r="G45" s="42" t="s">
        <v>19</v>
      </c>
      <c r="H45" s="42" t="s">
        <v>19</v>
      </c>
      <c r="I45" s="42" t="s">
        <v>101</v>
      </c>
      <c r="J45" s="42" t="s">
        <v>19</v>
      </c>
      <c r="K45" s="38"/>
      <c r="L45" s="38"/>
      <c r="M45" s="38"/>
      <c r="N45" s="38"/>
      <c r="O45" s="38"/>
      <c r="P45" s="38"/>
      <c r="Q45" s="38"/>
      <c r="R45" s="38"/>
      <c r="S45" s="38"/>
      <c r="T45" s="38"/>
    </row>
    <row r="46">
      <c r="A46" s="38"/>
      <c r="B46" s="39" t="s">
        <v>82</v>
      </c>
      <c r="C46" s="40"/>
      <c r="D46" s="43" t="s">
        <v>83</v>
      </c>
      <c r="E46" s="101">
        <v>0.95</v>
      </c>
      <c r="F46" s="102">
        <v>0.99</v>
      </c>
      <c r="G46" s="102">
        <v>1.0</v>
      </c>
      <c r="H46" s="102">
        <v>1.0</v>
      </c>
      <c r="I46" s="102">
        <v>0.99</v>
      </c>
      <c r="J46" s="45"/>
      <c r="K46" s="38"/>
      <c r="L46" s="38"/>
      <c r="M46" s="38"/>
      <c r="N46" s="38"/>
      <c r="O46" s="38"/>
      <c r="P46" s="38"/>
      <c r="Q46" s="38"/>
      <c r="R46" s="38"/>
      <c r="S46" s="38"/>
      <c r="T46" s="38"/>
    </row>
    <row r="47">
      <c r="A47" s="38"/>
      <c r="B47" s="39" t="s">
        <v>285</v>
      </c>
      <c r="C47" s="40"/>
      <c r="D47" s="43" t="s">
        <v>86</v>
      </c>
      <c r="E47" s="44"/>
      <c r="F47" s="47"/>
      <c r="G47" s="47"/>
      <c r="H47" s="47"/>
      <c r="I47" s="47"/>
      <c r="J47" s="47"/>
      <c r="K47" s="38"/>
      <c r="L47" s="38"/>
      <c r="M47" s="38"/>
      <c r="N47" s="38"/>
      <c r="O47" s="38"/>
      <c r="P47" s="38"/>
      <c r="Q47" s="38"/>
      <c r="R47" s="38"/>
      <c r="S47" s="38"/>
      <c r="T47" s="38"/>
    </row>
    <row r="48">
      <c r="A48" s="38"/>
      <c r="B48" s="40" t="s">
        <v>286</v>
      </c>
      <c r="D48" s="103" t="s">
        <v>287</v>
      </c>
      <c r="E48" s="42" t="s">
        <v>288</v>
      </c>
      <c r="F48" s="42" t="s">
        <v>289</v>
      </c>
      <c r="G48" s="42" t="s">
        <v>290</v>
      </c>
      <c r="H48" s="42" t="s">
        <v>290</v>
      </c>
      <c r="I48" s="42" t="s">
        <v>289</v>
      </c>
      <c r="J48" s="38"/>
      <c r="K48" s="38"/>
      <c r="L48" s="38"/>
      <c r="M48" s="38"/>
      <c r="N48" s="38"/>
      <c r="O48" s="38"/>
      <c r="P48" s="38"/>
      <c r="Q48" s="38"/>
      <c r="R48" s="38"/>
      <c r="S48" s="38"/>
      <c r="T48" s="38"/>
    </row>
    <row r="49">
      <c r="A49" s="38"/>
      <c r="B49" s="40" t="s">
        <v>291</v>
      </c>
      <c r="D49" s="43" t="s">
        <v>292</v>
      </c>
      <c r="E49" s="101">
        <v>0.9</v>
      </c>
      <c r="F49" s="101">
        <v>0.95</v>
      </c>
      <c r="G49" s="101">
        <v>0.99</v>
      </c>
      <c r="H49" s="101">
        <v>0.99</v>
      </c>
      <c r="I49" s="101">
        <v>0.95</v>
      </c>
      <c r="J49" s="38"/>
      <c r="K49" s="38"/>
      <c r="L49" s="38"/>
      <c r="M49" s="38"/>
      <c r="N49" s="38"/>
      <c r="O49" s="38"/>
      <c r="P49" s="38"/>
      <c r="Q49" s="38"/>
      <c r="R49" s="38"/>
      <c r="S49" s="38"/>
      <c r="T49" s="38"/>
    </row>
    <row r="50">
      <c r="B50" s="50" t="s">
        <v>103</v>
      </c>
      <c r="C50" s="50"/>
      <c r="D50" s="51"/>
      <c r="E50" s="52"/>
      <c r="F50" s="52"/>
      <c r="G50" s="52"/>
      <c r="H50" s="52"/>
      <c r="I50" s="52"/>
      <c r="J50" s="52"/>
      <c r="K50" s="52"/>
      <c r="L50" s="52"/>
      <c r="M50" s="52"/>
      <c r="N50" s="52"/>
      <c r="O50" s="52"/>
    </row>
    <row r="51">
      <c r="A51" s="38"/>
      <c r="B51" s="39" t="s">
        <v>104</v>
      </c>
      <c r="C51" s="40"/>
      <c r="D51" s="43" t="s">
        <v>105</v>
      </c>
      <c r="E51" s="42" t="s">
        <v>18</v>
      </c>
      <c r="F51" s="42" t="s">
        <v>58</v>
      </c>
      <c r="G51" s="42" t="s">
        <v>19</v>
      </c>
      <c r="H51" s="42" t="s">
        <v>19</v>
      </c>
      <c r="I51" s="42" t="s">
        <v>18</v>
      </c>
      <c r="J51" s="42" t="s">
        <v>19</v>
      </c>
      <c r="K51" s="38"/>
      <c r="L51" s="38"/>
      <c r="M51" s="38"/>
      <c r="N51" s="38"/>
      <c r="O51" s="38"/>
      <c r="P51" s="38"/>
      <c r="Q51" s="38"/>
      <c r="R51" s="38"/>
      <c r="S51" s="38"/>
      <c r="T51" s="38"/>
    </row>
    <row r="52">
      <c r="A52" s="38"/>
      <c r="B52" s="39" t="s">
        <v>106</v>
      </c>
      <c r="C52" s="40"/>
      <c r="D52" s="41"/>
      <c r="E52" s="42" t="s">
        <v>18</v>
      </c>
      <c r="F52" s="42" t="s">
        <v>18</v>
      </c>
      <c r="G52" s="42" t="s">
        <v>19</v>
      </c>
      <c r="H52" s="42" t="s">
        <v>19</v>
      </c>
      <c r="I52" s="42" t="s">
        <v>101</v>
      </c>
      <c r="J52" s="42" t="s">
        <v>19</v>
      </c>
      <c r="K52" s="38"/>
      <c r="L52" s="38"/>
      <c r="M52" s="38"/>
      <c r="N52" s="38"/>
      <c r="O52" s="38"/>
      <c r="P52" s="38"/>
      <c r="Q52" s="38"/>
      <c r="R52" s="38"/>
      <c r="S52" s="38"/>
      <c r="T52" s="38"/>
    </row>
    <row r="53">
      <c r="A53" s="38"/>
      <c r="B53" s="39" t="s">
        <v>107</v>
      </c>
      <c r="C53" s="40"/>
      <c r="D53" s="43" t="s">
        <v>293</v>
      </c>
      <c r="E53" s="42"/>
      <c r="F53" s="42"/>
      <c r="G53" s="42"/>
      <c r="H53" s="42"/>
      <c r="I53" s="42" t="s">
        <v>18</v>
      </c>
      <c r="J53" s="42" t="s">
        <v>19</v>
      </c>
      <c r="K53" s="38"/>
      <c r="L53" s="38"/>
      <c r="M53" s="38"/>
      <c r="N53" s="38"/>
      <c r="O53" s="38"/>
      <c r="P53" s="38"/>
      <c r="Q53" s="38"/>
      <c r="R53" s="38"/>
      <c r="S53" s="38"/>
      <c r="T53" s="38"/>
    </row>
    <row r="54">
      <c r="A54" s="38"/>
      <c r="B54" s="39"/>
      <c r="C54" s="86"/>
      <c r="D54" s="41"/>
      <c r="E54" s="38"/>
      <c r="F54" s="38"/>
      <c r="G54" s="38"/>
      <c r="H54" s="38"/>
      <c r="I54" s="38"/>
      <c r="J54" s="38"/>
      <c r="K54" s="38"/>
      <c r="L54" s="38"/>
      <c r="M54" s="38"/>
      <c r="N54" s="38"/>
      <c r="O54" s="38"/>
      <c r="P54" s="38"/>
      <c r="Q54" s="38"/>
      <c r="R54" s="38"/>
      <c r="S54" s="38"/>
      <c r="T54" s="38"/>
    </row>
    <row r="55">
      <c r="A55" s="38"/>
      <c r="B55" s="39"/>
      <c r="C55" s="86"/>
      <c r="D55" s="41"/>
      <c r="E55" s="38"/>
      <c r="F55" s="38"/>
      <c r="G55" s="38"/>
      <c r="H55" s="38"/>
      <c r="I55" s="38"/>
      <c r="J55" s="38"/>
      <c r="K55" s="38"/>
      <c r="L55" s="38"/>
      <c r="M55" s="38"/>
      <c r="N55" s="38"/>
      <c r="O55" s="38"/>
      <c r="P55" s="38"/>
      <c r="Q55" s="38"/>
      <c r="R55" s="38"/>
      <c r="S55" s="38"/>
      <c r="T55" s="38"/>
    </row>
    <row r="56">
      <c r="A56" s="38"/>
      <c r="B56" s="39"/>
      <c r="C56" s="86"/>
      <c r="D56" s="41"/>
      <c r="E56" s="38"/>
      <c r="F56" s="38"/>
      <c r="G56" s="38"/>
      <c r="H56" s="38"/>
      <c r="I56" s="38"/>
      <c r="J56" s="38"/>
    </row>
    <row r="57">
      <c r="A57" s="38"/>
      <c r="B57" s="39"/>
      <c r="C57" s="86"/>
      <c r="D57" s="41"/>
      <c r="E57" s="38"/>
      <c r="F57" s="38"/>
      <c r="G57" s="38"/>
      <c r="H57" s="38"/>
      <c r="I57" s="38"/>
      <c r="J57" s="38"/>
    </row>
    <row r="58">
      <c r="A58" s="38"/>
      <c r="B58" s="39"/>
      <c r="C58" s="86"/>
      <c r="D58" s="41"/>
      <c r="E58" s="38"/>
      <c r="F58" s="38"/>
      <c r="G58" s="38"/>
      <c r="H58" s="38"/>
      <c r="I58" s="38"/>
      <c r="J58" s="38"/>
    </row>
    <row r="59">
      <c r="A59" s="38"/>
      <c r="B59" s="39"/>
      <c r="C59" s="86"/>
      <c r="D59" s="41"/>
      <c r="E59" s="38"/>
      <c r="F59" s="38"/>
      <c r="G59" s="38"/>
      <c r="H59" s="38"/>
      <c r="I59" s="38"/>
      <c r="J59" s="38"/>
    </row>
    <row r="60">
      <c r="A60" s="38"/>
      <c r="B60" s="39"/>
      <c r="C60" s="86"/>
      <c r="D60" s="41"/>
      <c r="E60" s="38"/>
      <c r="F60" s="38"/>
      <c r="G60" s="38"/>
      <c r="H60" s="38"/>
      <c r="I60" s="38"/>
      <c r="J60" s="38"/>
    </row>
    <row r="61">
      <c r="A61" s="38"/>
      <c r="B61" s="39"/>
      <c r="C61" s="86"/>
      <c r="D61" s="41"/>
      <c r="E61" s="38"/>
      <c r="F61" s="38"/>
      <c r="G61" s="38"/>
      <c r="H61" s="38"/>
      <c r="I61" s="38"/>
      <c r="J61" s="38"/>
    </row>
    <row r="62">
      <c r="A62" s="38"/>
      <c r="B62" s="39"/>
      <c r="C62" s="86"/>
      <c r="D62" s="41"/>
      <c r="E62" s="38"/>
      <c r="F62" s="38"/>
      <c r="G62" s="38"/>
      <c r="H62" s="38"/>
      <c r="I62" s="38"/>
      <c r="J62" s="38"/>
    </row>
    <row r="63">
      <c r="A63" s="38"/>
      <c r="B63" s="39"/>
      <c r="C63" s="86"/>
      <c r="D63" s="41"/>
      <c r="E63" s="38"/>
      <c r="F63" s="38"/>
      <c r="G63" s="38"/>
      <c r="H63" s="38"/>
      <c r="I63" s="38"/>
      <c r="J63" s="38"/>
    </row>
    <row r="64">
      <c r="A64" s="38"/>
      <c r="B64" s="39"/>
      <c r="C64" s="86"/>
      <c r="D64" s="41"/>
      <c r="E64" s="38"/>
      <c r="F64" s="38"/>
      <c r="G64" s="38"/>
      <c r="H64" s="38"/>
      <c r="I64" s="38"/>
      <c r="J64" s="38"/>
    </row>
    <row r="65">
      <c r="A65" s="38"/>
      <c r="B65" s="39"/>
      <c r="C65" s="86"/>
      <c r="D65" s="41"/>
      <c r="E65" s="38"/>
      <c r="F65" s="38"/>
      <c r="G65" s="38"/>
      <c r="H65" s="38"/>
      <c r="I65" s="38"/>
      <c r="J65" s="38"/>
    </row>
    <row r="66">
      <c r="A66" s="38"/>
      <c r="B66" s="39"/>
      <c r="C66" s="86"/>
      <c r="D66" s="41"/>
      <c r="E66" s="38"/>
      <c r="F66" s="38"/>
      <c r="G66" s="38"/>
      <c r="H66" s="38"/>
      <c r="I66" s="38"/>
      <c r="J66" s="38"/>
    </row>
    <row r="67">
      <c r="A67" s="38"/>
      <c r="B67" s="39"/>
      <c r="C67" s="86"/>
      <c r="D67" s="41"/>
      <c r="E67" s="38"/>
      <c r="F67" s="38"/>
      <c r="G67" s="38"/>
      <c r="H67" s="38"/>
      <c r="I67" s="38"/>
      <c r="J67" s="38"/>
    </row>
    <row r="68">
      <c r="A68" s="38"/>
      <c r="B68" s="39"/>
      <c r="C68" s="86"/>
      <c r="D68" s="41"/>
      <c r="E68" s="38"/>
      <c r="F68" s="38"/>
      <c r="G68" s="38"/>
      <c r="H68" s="38"/>
      <c r="I68" s="38"/>
      <c r="J68" s="38"/>
    </row>
    <row r="69">
      <c r="A69" s="38"/>
      <c r="B69" s="39"/>
      <c r="C69" s="86"/>
      <c r="D69" s="41"/>
      <c r="E69" s="38"/>
      <c r="F69" s="38"/>
      <c r="G69" s="38"/>
      <c r="H69" s="38"/>
      <c r="I69" s="38"/>
      <c r="J69" s="38"/>
    </row>
    <row r="70">
      <c r="A70" s="38"/>
      <c r="B70" s="39"/>
      <c r="C70" s="86"/>
      <c r="D70" s="41"/>
      <c r="E70" s="38"/>
      <c r="F70" s="38"/>
      <c r="G70" s="38"/>
      <c r="H70" s="38"/>
      <c r="I70" s="38"/>
      <c r="J70" s="38"/>
    </row>
    <row r="71">
      <c r="A71" s="38"/>
      <c r="B71" s="39"/>
      <c r="C71" s="86"/>
      <c r="D71" s="41"/>
      <c r="E71" s="38"/>
      <c r="F71" s="38"/>
      <c r="G71" s="38"/>
      <c r="H71" s="38"/>
      <c r="I71" s="38"/>
      <c r="J71" s="38"/>
    </row>
    <row r="72">
      <c r="A72" s="38"/>
      <c r="B72" s="39"/>
      <c r="C72" s="86"/>
      <c r="D72" s="41"/>
      <c r="E72" s="38"/>
      <c r="F72" s="38"/>
      <c r="G72" s="38"/>
      <c r="H72" s="38"/>
      <c r="I72" s="38"/>
      <c r="J72" s="38"/>
    </row>
    <row r="73">
      <c r="A73" s="38"/>
      <c r="B73" s="39"/>
      <c r="C73" s="86"/>
      <c r="D73" s="41"/>
      <c r="E73" s="38"/>
      <c r="F73" s="38"/>
      <c r="G73" s="38"/>
      <c r="H73" s="38"/>
      <c r="I73" s="38"/>
      <c r="J73" s="38"/>
    </row>
    <row r="74">
      <c r="A74" s="38"/>
      <c r="B74" s="39"/>
      <c r="C74" s="86"/>
      <c r="D74" s="41"/>
      <c r="E74" s="38"/>
      <c r="F74" s="38"/>
      <c r="G74" s="38"/>
      <c r="H74" s="38"/>
      <c r="I74" s="38"/>
      <c r="J74" s="38"/>
    </row>
    <row r="75">
      <c r="A75" s="38"/>
      <c r="B75" s="39"/>
      <c r="C75" s="86"/>
      <c r="D75" s="41"/>
      <c r="E75" s="38"/>
      <c r="F75" s="38"/>
      <c r="G75" s="38"/>
      <c r="H75" s="38"/>
      <c r="I75" s="38"/>
      <c r="J75" s="38"/>
    </row>
    <row r="76">
      <c r="A76" s="38"/>
      <c r="B76" s="39"/>
      <c r="C76" s="86"/>
      <c r="D76" s="41"/>
      <c r="E76" s="38"/>
      <c r="F76" s="38"/>
      <c r="G76" s="38"/>
      <c r="H76" s="38"/>
      <c r="I76" s="38"/>
      <c r="J76" s="38"/>
    </row>
    <row r="77">
      <c r="A77" s="38"/>
      <c r="B77" s="39"/>
      <c r="C77" s="86"/>
      <c r="D77" s="41"/>
      <c r="E77" s="38"/>
      <c r="F77" s="38"/>
      <c r="G77" s="38"/>
      <c r="H77" s="38"/>
      <c r="I77" s="38"/>
      <c r="J77" s="38"/>
    </row>
    <row r="78">
      <c r="A78" s="38"/>
      <c r="B78" s="39"/>
      <c r="C78" s="86"/>
      <c r="D78" s="41"/>
      <c r="E78" s="38"/>
      <c r="F78" s="38"/>
      <c r="G78" s="38"/>
      <c r="H78" s="38"/>
      <c r="I78" s="38"/>
      <c r="J78" s="38"/>
    </row>
    <row r="79">
      <c r="A79" s="38"/>
      <c r="B79" s="39"/>
      <c r="C79" s="86"/>
      <c r="D79" s="41"/>
      <c r="E79" s="38"/>
      <c r="F79" s="38"/>
      <c r="G79" s="38"/>
      <c r="H79" s="38"/>
      <c r="I79" s="38"/>
      <c r="J79" s="38"/>
    </row>
    <row r="80">
      <c r="A80" s="38"/>
      <c r="B80" s="39"/>
      <c r="C80" s="86"/>
      <c r="D80" s="41"/>
      <c r="E80" s="38"/>
      <c r="F80" s="38"/>
      <c r="G80" s="38"/>
      <c r="H80" s="38"/>
      <c r="I80" s="38"/>
      <c r="J80" s="38"/>
    </row>
    <row r="81">
      <c r="A81" s="38"/>
      <c r="B81" s="39"/>
      <c r="C81" s="86"/>
      <c r="D81" s="41"/>
      <c r="E81" s="38"/>
      <c r="F81" s="38"/>
      <c r="G81" s="38"/>
      <c r="H81" s="38"/>
      <c r="I81" s="38"/>
      <c r="J81" s="38"/>
    </row>
    <row r="82">
      <c r="A82" s="38"/>
      <c r="B82" s="39"/>
      <c r="C82" s="86"/>
      <c r="D82" s="41"/>
      <c r="E82" s="38"/>
      <c r="F82" s="38"/>
      <c r="G82" s="38"/>
      <c r="H82" s="38"/>
      <c r="I82" s="38"/>
      <c r="J82" s="38"/>
    </row>
    <row r="83">
      <c r="A83" s="38"/>
      <c r="B83" s="39"/>
      <c r="C83" s="86"/>
      <c r="D83" s="41"/>
      <c r="E83" s="38"/>
      <c r="F83" s="38"/>
      <c r="G83" s="38"/>
      <c r="H83" s="38"/>
      <c r="I83" s="38"/>
      <c r="J83" s="38"/>
    </row>
    <row r="84">
      <c r="A84" s="38"/>
      <c r="B84" s="39"/>
      <c r="C84" s="86"/>
      <c r="D84" s="41"/>
      <c r="E84" s="38"/>
      <c r="F84" s="38"/>
      <c r="G84" s="38"/>
      <c r="H84" s="38"/>
      <c r="I84" s="38"/>
      <c r="J84" s="38"/>
    </row>
    <row r="85">
      <c r="A85" s="38"/>
      <c r="B85" s="39"/>
      <c r="C85" s="86"/>
      <c r="D85" s="41"/>
      <c r="E85" s="38"/>
      <c r="F85" s="38"/>
      <c r="G85" s="38"/>
      <c r="H85" s="38"/>
      <c r="I85" s="38"/>
      <c r="J85" s="38"/>
    </row>
    <row r="86">
      <c r="A86" s="38"/>
      <c r="B86" s="39"/>
      <c r="C86" s="86"/>
      <c r="D86" s="41"/>
      <c r="E86" s="38"/>
      <c r="F86" s="38"/>
      <c r="G86" s="38"/>
      <c r="H86" s="38"/>
      <c r="I86" s="38"/>
      <c r="J86" s="38"/>
    </row>
    <row r="87">
      <c r="A87" s="38"/>
      <c r="B87" s="39"/>
      <c r="C87" s="86"/>
      <c r="D87" s="41"/>
      <c r="E87" s="38"/>
      <c r="F87" s="38"/>
      <c r="G87" s="38"/>
      <c r="H87" s="38"/>
      <c r="I87" s="38"/>
      <c r="J87" s="38"/>
    </row>
    <row r="88">
      <c r="A88" s="38"/>
      <c r="B88" s="39"/>
      <c r="C88" s="86"/>
      <c r="D88" s="41"/>
      <c r="E88" s="38"/>
      <c r="F88" s="38"/>
      <c r="G88" s="38"/>
      <c r="H88" s="38"/>
      <c r="I88" s="38"/>
      <c r="J88" s="38"/>
    </row>
    <row r="89">
      <c r="A89" s="38"/>
      <c r="B89" s="39"/>
      <c r="C89" s="86"/>
      <c r="D89" s="41"/>
      <c r="E89" s="38"/>
      <c r="F89" s="38"/>
      <c r="G89" s="38"/>
      <c r="H89" s="38"/>
      <c r="I89" s="38"/>
      <c r="J89" s="38"/>
    </row>
    <row r="90">
      <c r="A90" s="38"/>
      <c r="B90" s="39"/>
      <c r="C90" s="86"/>
      <c r="D90" s="41"/>
      <c r="E90" s="38"/>
      <c r="F90" s="38"/>
      <c r="G90" s="38"/>
      <c r="H90" s="38"/>
      <c r="I90" s="38"/>
      <c r="J90" s="38"/>
    </row>
    <row r="91">
      <c r="A91" s="38"/>
      <c r="B91" s="39"/>
      <c r="C91" s="86"/>
      <c r="D91" s="41"/>
      <c r="E91" s="38"/>
      <c r="F91" s="38"/>
      <c r="G91" s="38"/>
      <c r="H91" s="38"/>
      <c r="I91" s="38"/>
      <c r="J91" s="38"/>
    </row>
    <row r="92">
      <c r="A92" s="38"/>
      <c r="B92" s="39"/>
      <c r="C92" s="86"/>
      <c r="D92" s="41"/>
      <c r="E92" s="38"/>
      <c r="F92" s="38"/>
      <c r="G92" s="38"/>
      <c r="H92" s="38"/>
      <c r="I92" s="38"/>
      <c r="J92" s="38"/>
    </row>
    <row r="93">
      <c r="A93" s="38"/>
      <c r="B93" s="39"/>
      <c r="C93" s="86"/>
      <c r="D93" s="41"/>
      <c r="E93" s="38"/>
      <c r="F93" s="38"/>
      <c r="G93" s="38"/>
      <c r="H93" s="38"/>
      <c r="I93" s="38"/>
      <c r="J93" s="38"/>
    </row>
    <row r="94">
      <c r="A94" s="38"/>
      <c r="B94" s="39"/>
      <c r="C94" s="86"/>
      <c r="D94" s="41"/>
      <c r="E94" s="38"/>
      <c r="F94" s="38"/>
      <c r="G94" s="38"/>
      <c r="H94" s="38"/>
      <c r="I94" s="38"/>
      <c r="J94" s="38"/>
    </row>
    <row r="95">
      <c r="A95" s="38"/>
      <c r="B95" s="39"/>
      <c r="C95" s="86"/>
      <c r="D95" s="41"/>
      <c r="E95" s="38"/>
      <c r="F95" s="38"/>
      <c r="G95" s="38"/>
      <c r="H95" s="38"/>
      <c r="I95" s="38"/>
      <c r="J95" s="38"/>
    </row>
    <row r="96">
      <c r="A96" s="38"/>
      <c r="B96" s="39"/>
      <c r="C96" s="86"/>
      <c r="D96" s="41"/>
      <c r="E96" s="38"/>
      <c r="F96" s="38"/>
      <c r="G96" s="38"/>
      <c r="H96" s="38"/>
      <c r="I96" s="38"/>
      <c r="J96" s="38"/>
    </row>
    <row r="97">
      <c r="A97" s="38"/>
      <c r="B97" s="39"/>
      <c r="C97" s="86"/>
      <c r="D97" s="41"/>
      <c r="E97" s="38"/>
      <c r="F97" s="38"/>
      <c r="G97" s="38"/>
      <c r="H97" s="38"/>
      <c r="I97" s="38"/>
      <c r="J97" s="38"/>
    </row>
    <row r="98">
      <c r="A98" s="38"/>
      <c r="B98" s="39"/>
      <c r="C98" s="86"/>
      <c r="D98" s="41"/>
      <c r="E98" s="38"/>
      <c r="F98" s="38"/>
      <c r="G98" s="38"/>
      <c r="H98" s="38"/>
      <c r="I98" s="38"/>
      <c r="J98" s="38"/>
    </row>
    <row r="99">
      <c r="A99" s="38"/>
      <c r="B99" s="39"/>
      <c r="C99" s="86"/>
      <c r="D99" s="41"/>
      <c r="E99" s="38"/>
      <c r="F99" s="38"/>
      <c r="G99" s="38"/>
      <c r="H99" s="38"/>
      <c r="I99" s="38"/>
      <c r="J99" s="38"/>
    </row>
    <row r="100">
      <c r="A100" s="38"/>
      <c r="B100" s="39"/>
      <c r="C100" s="86"/>
      <c r="D100" s="41"/>
      <c r="E100" s="38"/>
      <c r="F100" s="38"/>
      <c r="G100" s="38"/>
      <c r="H100" s="38"/>
      <c r="I100" s="38"/>
      <c r="J100" s="38"/>
    </row>
    <row r="101">
      <c r="A101" s="38"/>
      <c r="B101" s="39"/>
      <c r="C101" s="86"/>
      <c r="D101" s="41"/>
      <c r="E101" s="38"/>
      <c r="F101" s="38"/>
      <c r="G101" s="38"/>
      <c r="H101" s="38"/>
      <c r="I101" s="38"/>
      <c r="J101" s="38"/>
    </row>
    <row r="102">
      <c r="A102" s="38"/>
      <c r="B102" s="39"/>
      <c r="C102" s="86"/>
      <c r="D102" s="41"/>
      <c r="E102" s="38"/>
      <c r="F102" s="38"/>
      <c r="G102" s="38"/>
      <c r="H102" s="38"/>
      <c r="I102" s="38"/>
      <c r="J102" s="38"/>
    </row>
    <row r="103">
      <c r="A103" s="38"/>
      <c r="B103" s="39"/>
      <c r="C103" s="86"/>
      <c r="D103" s="41"/>
      <c r="E103" s="38"/>
      <c r="F103" s="38"/>
      <c r="G103" s="38"/>
      <c r="H103" s="38"/>
      <c r="I103" s="38"/>
      <c r="J103" s="38"/>
    </row>
    <row r="104">
      <c r="A104" s="38"/>
      <c r="B104" s="39"/>
      <c r="C104" s="86"/>
      <c r="D104" s="41"/>
      <c r="E104" s="38"/>
      <c r="F104" s="38"/>
      <c r="G104" s="38"/>
      <c r="H104" s="38"/>
      <c r="I104" s="38"/>
      <c r="J104" s="38"/>
    </row>
    <row r="105">
      <c r="A105" s="38"/>
      <c r="B105" s="39"/>
      <c r="C105" s="86"/>
      <c r="D105" s="41"/>
      <c r="E105" s="38"/>
      <c r="F105" s="38"/>
      <c r="G105" s="38"/>
      <c r="H105" s="38"/>
      <c r="I105" s="38"/>
      <c r="J105" s="38"/>
    </row>
    <row r="106">
      <c r="A106" s="38"/>
      <c r="B106" s="39"/>
      <c r="C106" s="86"/>
      <c r="D106" s="41"/>
      <c r="E106" s="38"/>
      <c r="F106" s="38"/>
      <c r="G106" s="38"/>
      <c r="H106" s="38"/>
      <c r="I106" s="38"/>
      <c r="J106" s="38"/>
    </row>
    <row r="107">
      <c r="A107" s="38"/>
      <c r="B107" s="39"/>
      <c r="C107" s="86"/>
      <c r="D107" s="41"/>
      <c r="E107" s="38"/>
      <c r="F107" s="38"/>
      <c r="G107" s="38"/>
      <c r="H107" s="38"/>
      <c r="I107" s="38"/>
      <c r="J107" s="38"/>
    </row>
    <row r="108">
      <c r="A108" s="38"/>
      <c r="B108" s="39"/>
      <c r="C108" s="86"/>
      <c r="D108" s="41"/>
      <c r="E108" s="38"/>
      <c r="F108" s="38"/>
      <c r="G108" s="38"/>
      <c r="H108" s="38"/>
      <c r="I108" s="38"/>
      <c r="J108" s="38"/>
    </row>
    <row r="109">
      <c r="A109" s="38"/>
      <c r="B109" s="39"/>
      <c r="C109" s="86"/>
      <c r="D109" s="41"/>
      <c r="E109" s="38"/>
      <c r="F109" s="38"/>
      <c r="G109" s="38"/>
      <c r="H109" s="38"/>
      <c r="I109" s="38"/>
      <c r="J109" s="38"/>
    </row>
    <row r="110">
      <c r="A110" s="38"/>
      <c r="B110" s="39"/>
      <c r="C110" s="86"/>
      <c r="D110" s="41"/>
      <c r="E110" s="38"/>
      <c r="F110" s="38"/>
      <c r="G110" s="38"/>
      <c r="H110" s="38"/>
      <c r="I110" s="38"/>
      <c r="J110" s="38"/>
    </row>
    <row r="111">
      <c r="A111" s="38"/>
      <c r="B111" s="39"/>
      <c r="C111" s="86"/>
      <c r="D111" s="41"/>
      <c r="E111" s="38"/>
      <c r="F111" s="38"/>
      <c r="G111" s="38"/>
      <c r="H111" s="38"/>
      <c r="I111" s="38"/>
      <c r="J111" s="38"/>
    </row>
    <row r="112">
      <c r="A112" s="38"/>
      <c r="B112" s="39"/>
      <c r="C112" s="86"/>
      <c r="D112" s="41"/>
      <c r="E112" s="38"/>
      <c r="F112" s="38"/>
      <c r="G112" s="38"/>
      <c r="H112" s="38"/>
      <c r="I112" s="38"/>
      <c r="J112" s="38"/>
    </row>
    <row r="113">
      <c r="A113" s="38"/>
      <c r="B113" s="39"/>
      <c r="C113" s="86"/>
      <c r="D113" s="41"/>
      <c r="E113" s="38"/>
      <c r="F113" s="38"/>
      <c r="G113" s="38"/>
      <c r="H113" s="38"/>
      <c r="I113" s="38"/>
      <c r="J113" s="38"/>
    </row>
    <row r="114">
      <c r="A114" s="38"/>
      <c r="B114" s="39"/>
      <c r="C114" s="86"/>
      <c r="D114" s="41"/>
      <c r="E114" s="38"/>
      <c r="F114" s="38"/>
      <c r="G114" s="38"/>
      <c r="H114" s="38"/>
      <c r="I114" s="38"/>
      <c r="J114" s="38"/>
    </row>
    <row r="115">
      <c r="A115" s="38"/>
      <c r="B115" s="39"/>
      <c r="C115" s="86"/>
      <c r="D115" s="41"/>
      <c r="E115" s="38"/>
      <c r="F115" s="38"/>
      <c r="G115" s="38"/>
      <c r="H115" s="38"/>
      <c r="I115" s="38"/>
      <c r="J115" s="38"/>
    </row>
    <row r="116">
      <c r="A116" s="38"/>
      <c r="B116" s="39"/>
      <c r="C116" s="86"/>
      <c r="D116" s="41"/>
      <c r="E116" s="38"/>
      <c r="F116" s="38"/>
      <c r="G116" s="38"/>
      <c r="H116" s="38"/>
      <c r="I116" s="38"/>
      <c r="J116" s="38"/>
    </row>
    <row r="117">
      <c r="A117" s="38"/>
      <c r="B117" s="39"/>
      <c r="C117" s="86"/>
      <c r="D117" s="41"/>
      <c r="E117" s="38"/>
      <c r="F117" s="38"/>
      <c r="G117" s="38"/>
      <c r="H117" s="38"/>
      <c r="I117" s="38"/>
      <c r="J117" s="38"/>
    </row>
    <row r="118">
      <c r="A118" s="38"/>
      <c r="B118" s="39"/>
      <c r="C118" s="86"/>
      <c r="D118" s="41"/>
      <c r="E118" s="38"/>
      <c r="F118" s="38"/>
      <c r="G118" s="38"/>
      <c r="H118" s="38"/>
      <c r="I118" s="38"/>
      <c r="J118" s="38"/>
    </row>
    <row r="119">
      <c r="D119" s="1"/>
    </row>
    <row r="120">
      <c r="D120" s="1"/>
    </row>
    <row r="121">
      <c r="D121" s="1"/>
    </row>
    <row r="122">
      <c r="D122" s="1"/>
    </row>
    <row r="123">
      <c r="D123" s="1"/>
    </row>
    <row r="124">
      <c r="D124" s="1"/>
    </row>
    <row r="125">
      <c r="D125" s="1"/>
    </row>
    <row r="126">
      <c r="D126" s="1"/>
    </row>
    <row r="127">
      <c r="D127" s="1"/>
    </row>
    <row r="128">
      <c r="D128" s="1"/>
    </row>
    <row r="129">
      <c r="D129" s="1"/>
    </row>
    <row r="130">
      <c r="D130" s="1"/>
    </row>
    <row r="131">
      <c r="D131" s="1"/>
    </row>
    <row r="132">
      <c r="D132" s="1"/>
    </row>
    <row r="133">
      <c r="D133" s="1"/>
    </row>
    <row r="134">
      <c r="D134" s="1"/>
    </row>
    <row r="135">
      <c r="D135" s="1"/>
    </row>
    <row r="136">
      <c r="D136" s="1"/>
    </row>
    <row r="137">
      <c r="D137" s="1"/>
    </row>
    <row r="138">
      <c r="D138" s="1"/>
    </row>
    <row r="139">
      <c r="D139" s="1"/>
    </row>
    <row r="140">
      <c r="D140" s="1"/>
    </row>
    <row r="141">
      <c r="D141" s="1"/>
    </row>
    <row r="142">
      <c r="D142" s="1"/>
    </row>
    <row r="143">
      <c r="D143" s="1"/>
    </row>
    <row r="144">
      <c r="D144" s="1"/>
    </row>
    <row r="145">
      <c r="D145" s="1"/>
    </row>
    <row r="146">
      <c r="D146" s="1"/>
    </row>
    <row r="147">
      <c r="D147" s="1"/>
    </row>
    <row r="148">
      <c r="D148" s="1"/>
    </row>
    <row r="149">
      <c r="D149" s="1"/>
    </row>
    <row r="150">
      <c r="D150" s="1"/>
    </row>
    <row r="151">
      <c r="D151" s="1"/>
    </row>
    <row r="152">
      <c r="D152" s="1"/>
    </row>
    <row r="153">
      <c r="D153" s="1"/>
    </row>
    <row r="154">
      <c r="D154" s="1"/>
    </row>
    <row r="155">
      <c r="D155" s="1"/>
    </row>
    <row r="156">
      <c r="D156" s="1"/>
    </row>
    <row r="157">
      <c r="D157" s="1"/>
    </row>
    <row r="158">
      <c r="D158" s="1"/>
    </row>
    <row r="159">
      <c r="D159" s="1"/>
    </row>
    <row r="160">
      <c r="D160" s="1"/>
    </row>
    <row r="161">
      <c r="D161" s="1"/>
    </row>
    <row r="162">
      <c r="D162" s="1"/>
    </row>
    <row r="163">
      <c r="D163" s="1"/>
    </row>
    <row r="164">
      <c r="D164" s="1"/>
    </row>
    <row r="165">
      <c r="D165" s="1"/>
    </row>
    <row r="166">
      <c r="D166" s="1"/>
    </row>
    <row r="167">
      <c r="D167" s="1"/>
    </row>
    <row r="168">
      <c r="D168" s="1"/>
    </row>
    <row r="169">
      <c r="D169" s="1"/>
    </row>
    <row r="170">
      <c r="D170" s="1"/>
    </row>
    <row r="171">
      <c r="D171" s="1"/>
    </row>
    <row r="172">
      <c r="D172" s="1"/>
    </row>
    <row r="173">
      <c r="D173" s="1"/>
    </row>
    <row r="174">
      <c r="D174" s="1"/>
    </row>
    <row r="175">
      <c r="D175" s="1"/>
    </row>
    <row r="176">
      <c r="D176" s="1"/>
    </row>
    <row r="177">
      <c r="D177" s="1"/>
    </row>
    <row r="178">
      <c r="D178" s="1"/>
    </row>
    <row r="179">
      <c r="D179" s="1"/>
    </row>
    <row r="180">
      <c r="D180" s="1"/>
    </row>
    <row r="181">
      <c r="D181" s="1"/>
    </row>
    <row r="182">
      <c r="D182" s="1"/>
    </row>
    <row r="183">
      <c r="D183" s="1"/>
    </row>
    <row r="184">
      <c r="D184" s="1"/>
    </row>
    <row r="185">
      <c r="D185" s="1"/>
    </row>
    <row r="186">
      <c r="D186" s="1"/>
    </row>
    <row r="187">
      <c r="D187" s="1"/>
    </row>
    <row r="188">
      <c r="D188" s="1"/>
    </row>
    <row r="189">
      <c r="D189" s="1"/>
    </row>
    <row r="190">
      <c r="D190" s="1"/>
    </row>
    <row r="191">
      <c r="D191" s="1"/>
    </row>
    <row r="192">
      <c r="D192" s="1"/>
    </row>
    <row r="193">
      <c r="D193" s="1"/>
    </row>
    <row r="194">
      <c r="D194" s="1"/>
    </row>
    <row r="195">
      <c r="D195" s="1"/>
    </row>
    <row r="196">
      <c r="D196" s="1"/>
    </row>
    <row r="197">
      <c r="D197" s="1"/>
    </row>
    <row r="198">
      <c r="D198" s="1"/>
    </row>
    <row r="199">
      <c r="D199" s="1"/>
    </row>
    <row r="200">
      <c r="D200" s="1"/>
    </row>
    <row r="201">
      <c r="D201" s="1"/>
    </row>
    <row r="202">
      <c r="D202" s="1"/>
    </row>
    <row r="203">
      <c r="D203" s="1"/>
    </row>
    <row r="204">
      <c r="D204" s="1"/>
    </row>
    <row r="205">
      <c r="D205" s="1"/>
    </row>
    <row r="206">
      <c r="D206" s="1"/>
    </row>
    <row r="207">
      <c r="D207" s="1"/>
    </row>
    <row r="208">
      <c r="D208" s="1"/>
    </row>
    <row r="209">
      <c r="D209" s="1"/>
    </row>
    <row r="210">
      <c r="D210" s="1"/>
    </row>
    <row r="211">
      <c r="D211" s="1"/>
    </row>
    <row r="212">
      <c r="D212" s="1"/>
    </row>
    <row r="213">
      <c r="D213" s="1"/>
    </row>
    <row r="214">
      <c r="D214" s="1"/>
    </row>
    <row r="215">
      <c r="D215" s="1"/>
    </row>
    <row r="216">
      <c r="D216" s="1"/>
    </row>
    <row r="217">
      <c r="D217" s="1"/>
    </row>
    <row r="218">
      <c r="D218" s="1"/>
    </row>
    <row r="219">
      <c r="D219" s="1"/>
    </row>
    <row r="220">
      <c r="D220" s="1"/>
    </row>
    <row r="221">
      <c r="D221" s="1"/>
    </row>
    <row r="222">
      <c r="D222" s="1"/>
    </row>
    <row r="223">
      <c r="D223" s="1"/>
    </row>
    <row r="224">
      <c r="D224" s="1"/>
    </row>
    <row r="225">
      <c r="D225" s="1"/>
    </row>
    <row r="226">
      <c r="D226" s="1"/>
    </row>
    <row r="227">
      <c r="D227" s="1"/>
    </row>
    <row r="228">
      <c r="D228" s="1"/>
    </row>
    <row r="229">
      <c r="D229" s="1"/>
    </row>
    <row r="230">
      <c r="D230" s="1"/>
    </row>
    <row r="231">
      <c r="D231" s="1"/>
    </row>
    <row r="232">
      <c r="D232" s="1"/>
    </row>
    <row r="233">
      <c r="D233" s="1"/>
    </row>
    <row r="234">
      <c r="D234" s="1"/>
    </row>
    <row r="235">
      <c r="D235" s="1"/>
    </row>
    <row r="236">
      <c r="D236" s="1"/>
    </row>
    <row r="237">
      <c r="D237" s="1"/>
    </row>
    <row r="238">
      <c r="D238" s="1"/>
    </row>
    <row r="239">
      <c r="D239" s="1"/>
    </row>
    <row r="240">
      <c r="D240" s="1"/>
    </row>
    <row r="241">
      <c r="D241" s="1"/>
    </row>
    <row r="242">
      <c r="D242" s="1"/>
    </row>
    <row r="243">
      <c r="D243" s="1"/>
    </row>
    <row r="244">
      <c r="D244" s="1"/>
    </row>
    <row r="245">
      <c r="D245" s="1"/>
    </row>
    <row r="246">
      <c r="D246" s="1"/>
    </row>
    <row r="247">
      <c r="D247" s="1"/>
    </row>
    <row r="248">
      <c r="D248" s="1"/>
    </row>
    <row r="249">
      <c r="D249" s="1"/>
    </row>
    <row r="250">
      <c r="D250" s="1"/>
    </row>
    <row r="251">
      <c r="D251" s="1"/>
    </row>
    <row r="252">
      <c r="D252" s="1"/>
    </row>
    <row r="253">
      <c r="D253" s="1"/>
    </row>
    <row r="254">
      <c r="D254" s="1"/>
    </row>
    <row r="255">
      <c r="D255" s="1"/>
    </row>
    <row r="256">
      <c r="D256" s="1"/>
    </row>
    <row r="257">
      <c r="D257" s="1"/>
    </row>
    <row r="258">
      <c r="D258" s="1"/>
    </row>
    <row r="259">
      <c r="D259" s="1"/>
    </row>
    <row r="260">
      <c r="D260" s="1"/>
    </row>
    <row r="261">
      <c r="D261" s="1"/>
    </row>
    <row r="262">
      <c r="D262" s="1"/>
    </row>
    <row r="263">
      <c r="D263" s="1"/>
    </row>
    <row r="264">
      <c r="D264" s="1"/>
    </row>
    <row r="265">
      <c r="D265" s="1"/>
    </row>
    <row r="266">
      <c r="D266" s="1"/>
    </row>
    <row r="267">
      <c r="D267" s="1"/>
    </row>
    <row r="268">
      <c r="D268" s="1"/>
    </row>
    <row r="269">
      <c r="D269" s="1"/>
    </row>
    <row r="270">
      <c r="D270" s="1"/>
    </row>
    <row r="271">
      <c r="D271" s="1"/>
    </row>
    <row r="272">
      <c r="D272" s="1"/>
    </row>
    <row r="273">
      <c r="D273" s="1"/>
    </row>
    <row r="274">
      <c r="D274" s="1"/>
    </row>
    <row r="275">
      <c r="D275" s="1"/>
    </row>
    <row r="276">
      <c r="D276" s="1"/>
    </row>
    <row r="277">
      <c r="D277" s="1"/>
    </row>
    <row r="278">
      <c r="D278" s="1"/>
    </row>
    <row r="279">
      <c r="D279" s="1"/>
    </row>
    <row r="280">
      <c r="D280" s="1"/>
    </row>
    <row r="281">
      <c r="D281" s="1"/>
    </row>
    <row r="282">
      <c r="D282" s="1"/>
    </row>
    <row r="283">
      <c r="D283" s="1"/>
    </row>
    <row r="284">
      <c r="D284" s="1"/>
    </row>
    <row r="285">
      <c r="D285" s="1"/>
    </row>
    <row r="286">
      <c r="D286" s="1"/>
    </row>
    <row r="287">
      <c r="D287" s="1"/>
    </row>
    <row r="288">
      <c r="D288" s="1"/>
    </row>
    <row r="289">
      <c r="D289" s="1"/>
    </row>
    <row r="290">
      <c r="D290" s="1"/>
    </row>
    <row r="291">
      <c r="D291" s="1"/>
    </row>
    <row r="292">
      <c r="D292" s="1"/>
    </row>
    <row r="293">
      <c r="D293" s="1"/>
    </row>
    <row r="294">
      <c r="D294" s="1"/>
    </row>
    <row r="295">
      <c r="D295" s="1"/>
    </row>
    <row r="296">
      <c r="D296" s="1"/>
    </row>
    <row r="297">
      <c r="D297" s="1"/>
    </row>
    <row r="298">
      <c r="D298" s="1"/>
    </row>
    <row r="299">
      <c r="D299" s="1"/>
    </row>
    <row r="300">
      <c r="D300" s="1"/>
    </row>
    <row r="301">
      <c r="D301" s="1"/>
    </row>
    <row r="302">
      <c r="D302" s="1"/>
    </row>
    <row r="303">
      <c r="D303" s="1"/>
    </row>
    <row r="304">
      <c r="D304" s="1"/>
    </row>
    <row r="305">
      <c r="D305" s="1"/>
    </row>
    <row r="306">
      <c r="D306" s="1"/>
    </row>
    <row r="307">
      <c r="D307" s="1"/>
    </row>
    <row r="308">
      <c r="D308" s="1"/>
    </row>
    <row r="309">
      <c r="D309" s="1"/>
    </row>
    <row r="310">
      <c r="D310" s="1"/>
    </row>
    <row r="311">
      <c r="D311" s="1"/>
    </row>
    <row r="312">
      <c r="D312" s="1"/>
    </row>
    <row r="313">
      <c r="D313" s="1"/>
    </row>
    <row r="314">
      <c r="D314" s="1"/>
    </row>
    <row r="315">
      <c r="D315" s="1"/>
    </row>
    <row r="316">
      <c r="D316" s="1"/>
    </row>
    <row r="317">
      <c r="D317" s="1"/>
    </row>
    <row r="318">
      <c r="D318" s="1"/>
    </row>
    <row r="319">
      <c r="D319" s="1"/>
    </row>
    <row r="320">
      <c r="D320" s="1"/>
    </row>
    <row r="321">
      <c r="D321" s="1"/>
    </row>
    <row r="322">
      <c r="D322" s="1"/>
    </row>
    <row r="323">
      <c r="D323" s="1"/>
    </row>
    <row r="324">
      <c r="D324" s="1"/>
    </row>
    <row r="325">
      <c r="D325" s="1"/>
    </row>
    <row r="326">
      <c r="D326" s="1"/>
    </row>
    <row r="327">
      <c r="D327" s="1"/>
    </row>
    <row r="328">
      <c r="D328" s="1"/>
    </row>
    <row r="329">
      <c r="D329" s="1"/>
    </row>
    <row r="330">
      <c r="D330" s="1"/>
    </row>
    <row r="331">
      <c r="D331" s="1"/>
    </row>
    <row r="332">
      <c r="D332" s="1"/>
    </row>
    <row r="333">
      <c r="D333" s="1"/>
    </row>
    <row r="334">
      <c r="D334" s="1"/>
    </row>
    <row r="335">
      <c r="D335" s="1"/>
    </row>
    <row r="336">
      <c r="D336" s="1"/>
    </row>
    <row r="337">
      <c r="D337" s="1"/>
    </row>
    <row r="338">
      <c r="D338" s="1"/>
    </row>
    <row r="339">
      <c r="D339" s="1"/>
    </row>
    <row r="340">
      <c r="D340" s="1"/>
    </row>
    <row r="341">
      <c r="D341" s="1"/>
    </row>
    <row r="342">
      <c r="D342" s="1"/>
    </row>
    <row r="343">
      <c r="D343" s="1"/>
    </row>
    <row r="344">
      <c r="D344" s="1"/>
    </row>
    <row r="345">
      <c r="D345" s="1"/>
    </row>
    <row r="346">
      <c r="D346" s="1"/>
    </row>
    <row r="347">
      <c r="D347" s="1"/>
    </row>
    <row r="348">
      <c r="D348" s="1"/>
    </row>
    <row r="349">
      <c r="D349" s="1"/>
    </row>
    <row r="350">
      <c r="D350" s="1"/>
    </row>
    <row r="351">
      <c r="D351" s="1"/>
    </row>
    <row r="352">
      <c r="D352" s="1"/>
    </row>
    <row r="353">
      <c r="D353" s="1"/>
    </row>
    <row r="354">
      <c r="D354" s="1"/>
    </row>
    <row r="355">
      <c r="D355" s="1"/>
    </row>
    <row r="356">
      <c r="D356" s="1"/>
    </row>
    <row r="357">
      <c r="D357" s="1"/>
    </row>
    <row r="358">
      <c r="D358" s="1"/>
    </row>
    <row r="359">
      <c r="D359" s="1"/>
    </row>
    <row r="360">
      <c r="D360" s="1"/>
    </row>
    <row r="361">
      <c r="D361" s="1"/>
    </row>
    <row r="362">
      <c r="D362" s="1"/>
    </row>
    <row r="363">
      <c r="D363" s="1"/>
    </row>
    <row r="364">
      <c r="D364" s="1"/>
    </row>
    <row r="365">
      <c r="D365" s="1"/>
    </row>
    <row r="366">
      <c r="D366" s="1"/>
    </row>
    <row r="367">
      <c r="D367" s="1"/>
    </row>
    <row r="368">
      <c r="D368" s="1"/>
    </row>
    <row r="369">
      <c r="D369" s="1"/>
    </row>
    <row r="370">
      <c r="D370" s="1"/>
    </row>
    <row r="371">
      <c r="D371" s="1"/>
    </row>
    <row r="372">
      <c r="D372" s="1"/>
    </row>
    <row r="373">
      <c r="D373" s="1"/>
    </row>
    <row r="374">
      <c r="D374" s="1"/>
    </row>
    <row r="375">
      <c r="D375" s="1"/>
    </row>
    <row r="376">
      <c r="D376" s="1"/>
    </row>
    <row r="377">
      <c r="D377" s="1"/>
    </row>
    <row r="378">
      <c r="D378" s="1"/>
    </row>
    <row r="379">
      <c r="D379" s="1"/>
    </row>
    <row r="380">
      <c r="D380" s="1"/>
    </row>
    <row r="381">
      <c r="D381" s="1"/>
    </row>
    <row r="382">
      <c r="D382" s="1"/>
    </row>
    <row r="383">
      <c r="D383" s="1"/>
    </row>
    <row r="384">
      <c r="D384" s="1"/>
    </row>
    <row r="385">
      <c r="D385" s="1"/>
    </row>
    <row r="386">
      <c r="D386" s="1"/>
    </row>
    <row r="387">
      <c r="D387" s="1"/>
    </row>
    <row r="388">
      <c r="D388" s="1"/>
    </row>
    <row r="389">
      <c r="D389" s="1"/>
    </row>
    <row r="390">
      <c r="D390" s="1"/>
    </row>
    <row r="391">
      <c r="D391" s="1"/>
    </row>
    <row r="392">
      <c r="D392" s="1"/>
    </row>
    <row r="393">
      <c r="D393" s="1"/>
    </row>
    <row r="394">
      <c r="D394" s="1"/>
    </row>
    <row r="395">
      <c r="D395" s="1"/>
    </row>
    <row r="396">
      <c r="D396" s="1"/>
    </row>
    <row r="397">
      <c r="D397" s="1"/>
    </row>
    <row r="398">
      <c r="D398" s="1"/>
    </row>
    <row r="399">
      <c r="D399" s="1"/>
    </row>
    <row r="400">
      <c r="D400" s="1"/>
    </row>
    <row r="401">
      <c r="D401" s="1"/>
    </row>
    <row r="402">
      <c r="D402" s="1"/>
    </row>
    <row r="403">
      <c r="D403" s="1"/>
    </row>
    <row r="404">
      <c r="D404" s="1"/>
    </row>
    <row r="405">
      <c r="D405" s="1"/>
    </row>
    <row r="406">
      <c r="D406" s="1"/>
    </row>
    <row r="407">
      <c r="D407" s="1"/>
    </row>
    <row r="408">
      <c r="D408" s="1"/>
    </row>
    <row r="409">
      <c r="D409" s="1"/>
    </row>
    <row r="410">
      <c r="D410" s="1"/>
    </row>
    <row r="411">
      <c r="D411" s="1"/>
    </row>
    <row r="412">
      <c r="D412" s="1"/>
    </row>
    <row r="413">
      <c r="D413" s="1"/>
    </row>
    <row r="414">
      <c r="D414" s="1"/>
    </row>
    <row r="415">
      <c r="D415" s="1"/>
    </row>
    <row r="416">
      <c r="D416" s="1"/>
    </row>
    <row r="417">
      <c r="D417" s="1"/>
    </row>
    <row r="418">
      <c r="D418" s="1"/>
    </row>
    <row r="419">
      <c r="D419" s="1"/>
    </row>
    <row r="420">
      <c r="D420" s="1"/>
    </row>
    <row r="421">
      <c r="D421" s="1"/>
    </row>
    <row r="422">
      <c r="D422" s="1"/>
    </row>
    <row r="423">
      <c r="D423" s="1"/>
    </row>
    <row r="424">
      <c r="D424" s="1"/>
    </row>
    <row r="425">
      <c r="D425" s="1"/>
    </row>
    <row r="426">
      <c r="D426" s="1"/>
    </row>
    <row r="427">
      <c r="D427" s="1"/>
    </row>
    <row r="428">
      <c r="D428" s="1"/>
    </row>
    <row r="429">
      <c r="D429" s="1"/>
    </row>
    <row r="430">
      <c r="D430" s="1"/>
    </row>
    <row r="431">
      <c r="D431" s="1"/>
    </row>
    <row r="432">
      <c r="D432" s="1"/>
    </row>
    <row r="433">
      <c r="D433" s="1"/>
    </row>
    <row r="434">
      <c r="D434" s="1"/>
    </row>
    <row r="435">
      <c r="D435" s="1"/>
    </row>
    <row r="436">
      <c r="D436" s="1"/>
    </row>
    <row r="437">
      <c r="D437" s="1"/>
    </row>
    <row r="438">
      <c r="D438" s="1"/>
    </row>
    <row r="439">
      <c r="D439" s="1"/>
    </row>
    <row r="440">
      <c r="D440" s="1"/>
    </row>
    <row r="441">
      <c r="D441" s="1"/>
    </row>
    <row r="442">
      <c r="D442" s="1"/>
    </row>
    <row r="443">
      <c r="D443" s="1"/>
    </row>
    <row r="444">
      <c r="D444" s="1"/>
    </row>
    <row r="445">
      <c r="D445" s="1"/>
    </row>
    <row r="446">
      <c r="D446" s="1"/>
    </row>
    <row r="447">
      <c r="D447" s="1"/>
    </row>
    <row r="448">
      <c r="D448" s="1"/>
    </row>
    <row r="449">
      <c r="D449" s="1"/>
    </row>
    <row r="450">
      <c r="D450" s="1"/>
    </row>
    <row r="451">
      <c r="D451" s="1"/>
    </row>
    <row r="452">
      <c r="D452" s="1"/>
    </row>
    <row r="453">
      <c r="D453" s="1"/>
    </row>
    <row r="454">
      <c r="D454" s="1"/>
    </row>
    <row r="455">
      <c r="D455" s="1"/>
    </row>
    <row r="456">
      <c r="D456" s="1"/>
    </row>
    <row r="457">
      <c r="D457" s="1"/>
    </row>
    <row r="458">
      <c r="D458" s="1"/>
    </row>
    <row r="459">
      <c r="D459" s="1"/>
    </row>
    <row r="460">
      <c r="D460" s="1"/>
    </row>
    <row r="461">
      <c r="D461" s="1"/>
    </row>
    <row r="462">
      <c r="D462" s="1"/>
    </row>
    <row r="463">
      <c r="D463" s="1"/>
    </row>
    <row r="464">
      <c r="D464" s="1"/>
    </row>
    <row r="465">
      <c r="D465" s="1"/>
    </row>
    <row r="466">
      <c r="D466" s="1"/>
    </row>
    <row r="467">
      <c r="D467" s="1"/>
    </row>
    <row r="468">
      <c r="D468" s="1"/>
    </row>
    <row r="469">
      <c r="D469" s="1"/>
    </row>
    <row r="470">
      <c r="D470" s="1"/>
    </row>
    <row r="471">
      <c r="D471" s="1"/>
    </row>
    <row r="472">
      <c r="D472" s="1"/>
    </row>
    <row r="473">
      <c r="D473" s="1"/>
    </row>
    <row r="474">
      <c r="D474" s="1"/>
    </row>
    <row r="475">
      <c r="D475" s="1"/>
    </row>
    <row r="476">
      <c r="D476" s="1"/>
    </row>
    <row r="477">
      <c r="D477" s="1"/>
    </row>
    <row r="478">
      <c r="D478" s="1"/>
    </row>
    <row r="479">
      <c r="D479" s="1"/>
    </row>
    <row r="480">
      <c r="D480" s="1"/>
    </row>
    <row r="481">
      <c r="D481" s="1"/>
    </row>
    <row r="482">
      <c r="D482" s="1"/>
    </row>
    <row r="483">
      <c r="D483" s="1"/>
    </row>
    <row r="484">
      <c r="D484" s="1"/>
    </row>
    <row r="485">
      <c r="D485" s="1"/>
    </row>
    <row r="486">
      <c r="D486" s="1"/>
    </row>
    <row r="487">
      <c r="D487" s="1"/>
    </row>
    <row r="488">
      <c r="D488" s="1"/>
    </row>
    <row r="489">
      <c r="D489" s="1"/>
    </row>
    <row r="490">
      <c r="D490" s="1"/>
    </row>
    <row r="491">
      <c r="D491" s="1"/>
    </row>
    <row r="492">
      <c r="D492" s="1"/>
    </row>
    <row r="493">
      <c r="D493" s="1"/>
    </row>
    <row r="494">
      <c r="D494" s="1"/>
    </row>
    <row r="495">
      <c r="D495" s="1"/>
    </row>
    <row r="496">
      <c r="D496" s="1"/>
    </row>
    <row r="497">
      <c r="D497" s="1"/>
    </row>
    <row r="498">
      <c r="D498" s="1"/>
    </row>
    <row r="499">
      <c r="D499" s="1"/>
    </row>
    <row r="500">
      <c r="D500" s="1"/>
    </row>
    <row r="501">
      <c r="D501" s="1"/>
    </row>
    <row r="502">
      <c r="D502" s="1"/>
    </row>
    <row r="503">
      <c r="D503" s="1"/>
    </row>
    <row r="504">
      <c r="D504" s="1"/>
    </row>
    <row r="505">
      <c r="D505" s="1"/>
    </row>
    <row r="506">
      <c r="D506" s="1"/>
    </row>
    <row r="507">
      <c r="D507" s="1"/>
    </row>
    <row r="508">
      <c r="D508" s="1"/>
    </row>
    <row r="509">
      <c r="D509" s="1"/>
    </row>
    <row r="510">
      <c r="D510" s="1"/>
    </row>
    <row r="511">
      <c r="D511" s="1"/>
    </row>
    <row r="512">
      <c r="D512" s="1"/>
    </row>
    <row r="513">
      <c r="D513" s="1"/>
    </row>
    <row r="514">
      <c r="D514" s="1"/>
    </row>
    <row r="515">
      <c r="D515" s="1"/>
    </row>
    <row r="516">
      <c r="D516" s="1"/>
    </row>
    <row r="517">
      <c r="D517" s="1"/>
    </row>
    <row r="518">
      <c r="D518" s="1"/>
    </row>
    <row r="519">
      <c r="D519" s="1"/>
    </row>
    <row r="520">
      <c r="D520" s="1"/>
    </row>
    <row r="521">
      <c r="D521" s="1"/>
    </row>
    <row r="522">
      <c r="D522" s="1"/>
    </row>
    <row r="523">
      <c r="D523" s="1"/>
    </row>
    <row r="524">
      <c r="D524" s="1"/>
    </row>
    <row r="525">
      <c r="D525" s="1"/>
    </row>
    <row r="526">
      <c r="D526" s="1"/>
    </row>
    <row r="527">
      <c r="D527" s="1"/>
    </row>
    <row r="528">
      <c r="D528" s="1"/>
    </row>
    <row r="529">
      <c r="D529" s="1"/>
    </row>
    <row r="530">
      <c r="D530" s="1"/>
    </row>
    <row r="531">
      <c r="D531" s="1"/>
    </row>
    <row r="532">
      <c r="D532" s="1"/>
    </row>
    <row r="533">
      <c r="D533" s="1"/>
    </row>
    <row r="534">
      <c r="D534" s="1"/>
    </row>
    <row r="535">
      <c r="D535" s="1"/>
    </row>
    <row r="536">
      <c r="D536" s="1"/>
    </row>
    <row r="537">
      <c r="D537" s="1"/>
    </row>
    <row r="538">
      <c r="D538" s="1"/>
    </row>
    <row r="539">
      <c r="D539" s="1"/>
    </row>
    <row r="540">
      <c r="D540" s="1"/>
    </row>
    <row r="541">
      <c r="D541" s="1"/>
    </row>
    <row r="542">
      <c r="D542" s="1"/>
    </row>
    <row r="543">
      <c r="D543" s="1"/>
    </row>
    <row r="544">
      <c r="D544" s="1"/>
    </row>
    <row r="545">
      <c r="D545" s="1"/>
    </row>
    <row r="546">
      <c r="D546" s="1"/>
    </row>
    <row r="547">
      <c r="D547" s="1"/>
    </row>
    <row r="548">
      <c r="D548" s="1"/>
    </row>
    <row r="549">
      <c r="D549" s="1"/>
    </row>
    <row r="550">
      <c r="D550" s="1"/>
    </row>
    <row r="551">
      <c r="D551" s="1"/>
    </row>
    <row r="552">
      <c r="D552" s="1"/>
    </row>
    <row r="553">
      <c r="D553" s="1"/>
    </row>
    <row r="554">
      <c r="D554" s="1"/>
    </row>
    <row r="555">
      <c r="D555" s="1"/>
    </row>
    <row r="556">
      <c r="D556" s="1"/>
    </row>
    <row r="557">
      <c r="D557" s="1"/>
    </row>
    <row r="558">
      <c r="D558" s="1"/>
    </row>
    <row r="559">
      <c r="D559" s="1"/>
    </row>
    <row r="560">
      <c r="D560" s="1"/>
    </row>
    <row r="561">
      <c r="D561" s="1"/>
    </row>
    <row r="562">
      <c r="D562" s="1"/>
    </row>
    <row r="563">
      <c r="D563" s="1"/>
    </row>
    <row r="564">
      <c r="D564" s="1"/>
    </row>
    <row r="565">
      <c r="D565" s="1"/>
    </row>
    <row r="566">
      <c r="D566" s="1"/>
    </row>
    <row r="567">
      <c r="D567" s="1"/>
    </row>
    <row r="568">
      <c r="D568" s="1"/>
    </row>
    <row r="569">
      <c r="D569" s="1"/>
    </row>
    <row r="570">
      <c r="D570" s="1"/>
    </row>
    <row r="571">
      <c r="D571" s="1"/>
    </row>
    <row r="572">
      <c r="D572" s="1"/>
    </row>
    <row r="573">
      <c r="D573" s="1"/>
    </row>
    <row r="574">
      <c r="D574" s="1"/>
    </row>
    <row r="575">
      <c r="D575" s="1"/>
    </row>
    <row r="576">
      <c r="D576" s="1"/>
    </row>
    <row r="577">
      <c r="D577" s="1"/>
    </row>
    <row r="578">
      <c r="D578" s="1"/>
    </row>
    <row r="579">
      <c r="D579" s="1"/>
    </row>
    <row r="580">
      <c r="D580" s="1"/>
    </row>
    <row r="581">
      <c r="D581" s="1"/>
    </row>
    <row r="582">
      <c r="D582" s="1"/>
    </row>
    <row r="583">
      <c r="D583" s="1"/>
    </row>
    <row r="584">
      <c r="D584" s="1"/>
    </row>
    <row r="585">
      <c r="D585" s="1"/>
    </row>
    <row r="586">
      <c r="D586" s="1"/>
    </row>
    <row r="587">
      <c r="D587" s="1"/>
    </row>
    <row r="588">
      <c r="D588" s="1"/>
    </row>
    <row r="589">
      <c r="D589" s="1"/>
    </row>
    <row r="590">
      <c r="D590" s="1"/>
    </row>
    <row r="591">
      <c r="D591" s="1"/>
    </row>
    <row r="592">
      <c r="D592" s="1"/>
    </row>
    <row r="593">
      <c r="D593" s="1"/>
    </row>
    <row r="594">
      <c r="D594" s="1"/>
    </row>
    <row r="595">
      <c r="D595" s="1"/>
    </row>
    <row r="596">
      <c r="D596" s="1"/>
    </row>
    <row r="597">
      <c r="D597" s="1"/>
    </row>
    <row r="598">
      <c r="D598" s="1"/>
    </row>
    <row r="599">
      <c r="D599" s="1"/>
    </row>
    <row r="600">
      <c r="D600" s="1"/>
    </row>
    <row r="601">
      <c r="D601" s="1"/>
    </row>
    <row r="602">
      <c r="D602" s="1"/>
    </row>
    <row r="603">
      <c r="D603" s="1"/>
    </row>
    <row r="604">
      <c r="D604" s="1"/>
    </row>
    <row r="605">
      <c r="D605" s="1"/>
    </row>
    <row r="606">
      <c r="D606" s="1"/>
    </row>
    <row r="607">
      <c r="D607" s="1"/>
    </row>
    <row r="608">
      <c r="D608" s="1"/>
    </row>
    <row r="609">
      <c r="D609" s="1"/>
    </row>
    <row r="610">
      <c r="D610" s="1"/>
    </row>
    <row r="611">
      <c r="D611" s="1"/>
    </row>
    <row r="612">
      <c r="D612" s="1"/>
    </row>
    <row r="613">
      <c r="D613" s="1"/>
    </row>
    <row r="614">
      <c r="D614" s="1"/>
    </row>
    <row r="615">
      <c r="D615" s="1"/>
    </row>
    <row r="616">
      <c r="D616" s="1"/>
    </row>
    <row r="617">
      <c r="D617" s="1"/>
    </row>
    <row r="618">
      <c r="D618" s="1"/>
    </row>
    <row r="619">
      <c r="D619" s="1"/>
    </row>
    <row r="620">
      <c r="D620" s="1"/>
    </row>
    <row r="621">
      <c r="D621" s="1"/>
    </row>
    <row r="622">
      <c r="D622" s="1"/>
    </row>
    <row r="623">
      <c r="D623" s="1"/>
    </row>
    <row r="624">
      <c r="D624" s="1"/>
    </row>
    <row r="625">
      <c r="D625" s="1"/>
    </row>
    <row r="626">
      <c r="D626" s="1"/>
    </row>
    <row r="627">
      <c r="D627" s="1"/>
    </row>
    <row r="628">
      <c r="D628" s="1"/>
    </row>
    <row r="629">
      <c r="D629" s="1"/>
    </row>
    <row r="630">
      <c r="D630" s="1"/>
    </row>
    <row r="631">
      <c r="D631" s="1"/>
    </row>
    <row r="632">
      <c r="D632" s="1"/>
    </row>
    <row r="633">
      <c r="D633" s="1"/>
    </row>
    <row r="634">
      <c r="D634" s="1"/>
    </row>
    <row r="635">
      <c r="D635" s="1"/>
    </row>
    <row r="636">
      <c r="D636" s="1"/>
    </row>
    <row r="637">
      <c r="D637" s="1"/>
    </row>
    <row r="638">
      <c r="D638" s="1"/>
    </row>
    <row r="639">
      <c r="D639" s="1"/>
    </row>
    <row r="640">
      <c r="D640" s="1"/>
    </row>
    <row r="641">
      <c r="D641" s="1"/>
    </row>
    <row r="642">
      <c r="D642" s="1"/>
    </row>
    <row r="643">
      <c r="D643" s="1"/>
    </row>
    <row r="644">
      <c r="D644" s="1"/>
    </row>
    <row r="645">
      <c r="D645" s="1"/>
    </row>
    <row r="646">
      <c r="D646" s="1"/>
    </row>
    <row r="647">
      <c r="D647" s="1"/>
    </row>
    <row r="648">
      <c r="D648" s="1"/>
    </row>
    <row r="649">
      <c r="D649" s="1"/>
    </row>
    <row r="650">
      <c r="D650" s="1"/>
    </row>
    <row r="651">
      <c r="D651" s="1"/>
    </row>
    <row r="652">
      <c r="D652" s="1"/>
    </row>
    <row r="653">
      <c r="D653" s="1"/>
    </row>
    <row r="654">
      <c r="D654" s="1"/>
    </row>
    <row r="655">
      <c r="D655" s="1"/>
    </row>
    <row r="656">
      <c r="D656" s="1"/>
    </row>
    <row r="657">
      <c r="D657" s="1"/>
    </row>
    <row r="658">
      <c r="D658" s="1"/>
    </row>
    <row r="659">
      <c r="D659" s="1"/>
    </row>
    <row r="660">
      <c r="D660" s="1"/>
    </row>
    <row r="661">
      <c r="D661" s="1"/>
    </row>
    <row r="662">
      <c r="D662" s="1"/>
    </row>
    <row r="663">
      <c r="D663" s="1"/>
    </row>
    <row r="664">
      <c r="D664" s="1"/>
    </row>
    <row r="665">
      <c r="D665" s="1"/>
    </row>
    <row r="666">
      <c r="D666" s="1"/>
    </row>
    <row r="667">
      <c r="D667" s="1"/>
    </row>
    <row r="668">
      <c r="D668" s="1"/>
    </row>
    <row r="669">
      <c r="D669" s="1"/>
    </row>
    <row r="670">
      <c r="D670" s="1"/>
    </row>
    <row r="671">
      <c r="D671" s="1"/>
    </row>
    <row r="672">
      <c r="D672" s="1"/>
    </row>
    <row r="673">
      <c r="D673" s="1"/>
    </row>
    <row r="674">
      <c r="D674" s="1"/>
    </row>
    <row r="675">
      <c r="D675" s="1"/>
    </row>
    <row r="676">
      <c r="D676" s="1"/>
    </row>
    <row r="677">
      <c r="D677" s="1"/>
    </row>
    <row r="678">
      <c r="D678" s="1"/>
    </row>
    <row r="679">
      <c r="D679" s="1"/>
    </row>
    <row r="680">
      <c r="D680" s="1"/>
    </row>
    <row r="681">
      <c r="D681" s="1"/>
    </row>
    <row r="682">
      <c r="D682" s="1"/>
    </row>
    <row r="683">
      <c r="D683" s="1"/>
    </row>
    <row r="684">
      <c r="D684" s="1"/>
    </row>
    <row r="685">
      <c r="D685" s="1"/>
    </row>
    <row r="686">
      <c r="D686" s="1"/>
    </row>
    <row r="687">
      <c r="D687" s="1"/>
    </row>
    <row r="688">
      <c r="D688" s="1"/>
    </row>
    <row r="689">
      <c r="D689" s="1"/>
    </row>
    <row r="690">
      <c r="D690" s="1"/>
    </row>
    <row r="691">
      <c r="D691" s="1"/>
    </row>
    <row r="692">
      <c r="D692" s="1"/>
    </row>
    <row r="693">
      <c r="D693" s="1"/>
    </row>
    <row r="694">
      <c r="D694" s="1"/>
    </row>
    <row r="695">
      <c r="D695" s="1"/>
    </row>
    <row r="696">
      <c r="D696" s="1"/>
    </row>
    <row r="697">
      <c r="D697" s="1"/>
    </row>
    <row r="698">
      <c r="D698" s="1"/>
    </row>
    <row r="699">
      <c r="D699" s="1"/>
    </row>
    <row r="700">
      <c r="D700" s="1"/>
    </row>
    <row r="701">
      <c r="D701" s="1"/>
    </row>
    <row r="702">
      <c r="D702" s="1"/>
    </row>
    <row r="703">
      <c r="D703" s="1"/>
    </row>
    <row r="704">
      <c r="D704" s="1"/>
    </row>
    <row r="705">
      <c r="D705" s="1"/>
    </row>
    <row r="706">
      <c r="D706" s="1"/>
    </row>
    <row r="707">
      <c r="D707" s="1"/>
    </row>
    <row r="708">
      <c r="D708" s="1"/>
    </row>
    <row r="709">
      <c r="D709" s="1"/>
    </row>
    <row r="710">
      <c r="D710" s="1"/>
    </row>
    <row r="711">
      <c r="D711" s="1"/>
    </row>
    <row r="712">
      <c r="D712" s="1"/>
    </row>
    <row r="713">
      <c r="D713" s="1"/>
    </row>
    <row r="714">
      <c r="D714" s="1"/>
    </row>
    <row r="715">
      <c r="D715" s="1"/>
    </row>
    <row r="716">
      <c r="D716" s="1"/>
    </row>
    <row r="717">
      <c r="D717" s="1"/>
    </row>
    <row r="718">
      <c r="D718" s="1"/>
    </row>
    <row r="719">
      <c r="D719" s="1"/>
    </row>
    <row r="720">
      <c r="D720" s="1"/>
    </row>
    <row r="721">
      <c r="D721" s="1"/>
    </row>
    <row r="722">
      <c r="D722" s="1"/>
    </row>
    <row r="723">
      <c r="D723" s="1"/>
    </row>
    <row r="724">
      <c r="D724" s="1"/>
    </row>
    <row r="725">
      <c r="D725" s="1"/>
    </row>
    <row r="726">
      <c r="D726" s="1"/>
    </row>
    <row r="727">
      <c r="D727" s="1"/>
    </row>
    <row r="728">
      <c r="D728" s="1"/>
    </row>
    <row r="729">
      <c r="D729" s="1"/>
    </row>
    <row r="730">
      <c r="D730" s="1"/>
    </row>
    <row r="731">
      <c r="D731" s="1"/>
    </row>
    <row r="732">
      <c r="D732" s="1"/>
    </row>
    <row r="733">
      <c r="D733" s="1"/>
    </row>
    <row r="734">
      <c r="D734" s="1"/>
    </row>
    <row r="735">
      <c r="D735" s="1"/>
    </row>
    <row r="736">
      <c r="D736" s="1"/>
    </row>
    <row r="737">
      <c r="D737" s="1"/>
    </row>
    <row r="738">
      <c r="D738" s="1"/>
    </row>
    <row r="739">
      <c r="D739" s="1"/>
    </row>
    <row r="740">
      <c r="D740" s="1"/>
    </row>
    <row r="741">
      <c r="D741" s="1"/>
    </row>
    <row r="742">
      <c r="D742" s="1"/>
    </row>
    <row r="743">
      <c r="D743" s="1"/>
    </row>
    <row r="744">
      <c r="D744" s="1"/>
    </row>
    <row r="745">
      <c r="D745" s="1"/>
    </row>
    <row r="746">
      <c r="D746" s="1"/>
    </row>
    <row r="747">
      <c r="D747" s="1"/>
    </row>
    <row r="748">
      <c r="D748" s="1"/>
    </row>
    <row r="749">
      <c r="D749" s="1"/>
    </row>
    <row r="750">
      <c r="D750" s="1"/>
    </row>
    <row r="751">
      <c r="D751" s="1"/>
    </row>
    <row r="752">
      <c r="D752" s="1"/>
    </row>
    <row r="753">
      <c r="D753" s="1"/>
    </row>
    <row r="754">
      <c r="D754" s="1"/>
    </row>
    <row r="755">
      <c r="D755" s="1"/>
    </row>
    <row r="756">
      <c r="D756" s="1"/>
    </row>
    <row r="757">
      <c r="D757" s="1"/>
    </row>
    <row r="758">
      <c r="D758" s="1"/>
    </row>
    <row r="759">
      <c r="D759" s="1"/>
    </row>
    <row r="760">
      <c r="D760" s="1"/>
    </row>
    <row r="761">
      <c r="D761" s="1"/>
    </row>
    <row r="762">
      <c r="D762" s="1"/>
    </row>
    <row r="763">
      <c r="D763" s="1"/>
    </row>
    <row r="764">
      <c r="D764" s="1"/>
    </row>
    <row r="765">
      <c r="D765" s="1"/>
    </row>
    <row r="766">
      <c r="D766" s="1"/>
    </row>
    <row r="767">
      <c r="D767" s="1"/>
    </row>
    <row r="768">
      <c r="D768" s="1"/>
    </row>
    <row r="769">
      <c r="D769" s="1"/>
    </row>
    <row r="770">
      <c r="D770" s="1"/>
    </row>
    <row r="771">
      <c r="D771" s="1"/>
    </row>
    <row r="772">
      <c r="D772" s="1"/>
    </row>
    <row r="773">
      <c r="D773" s="1"/>
    </row>
    <row r="774">
      <c r="D774" s="1"/>
    </row>
    <row r="775">
      <c r="D775" s="1"/>
    </row>
    <row r="776">
      <c r="D776" s="1"/>
    </row>
    <row r="777">
      <c r="D777" s="1"/>
    </row>
    <row r="778">
      <c r="D778" s="1"/>
    </row>
    <row r="779">
      <c r="D779" s="1"/>
    </row>
    <row r="780">
      <c r="D780" s="1"/>
    </row>
    <row r="781">
      <c r="D781" s="1"/>
    </row>
    <row r="782">
      <c r="D782" s="1"/>
    </row>
    <row r="783">
      <c r="D783" s="1"/>
    </row>
    <row r="784">
      <c r="D784" s="1"/>
    </row>
    <row r="785">
      <c r="D785" s="1"/>
    </row>
    <row r="786">
      <c r="D786" s="1"/>
    </row>
    <row r="787">
      <c r="D787" s="1"/>
    </row>
    <row r="788">
      <c r="D788" s="1"/>
    </row>
    <row r="789">
      <c r="D789" s="1"/>
    </row>
    <row r="790">
      <c r="D790" s="1"/>
    </row>
    <row r="791">
      <c r="D791" s="1"/>
    </row>
    <row r="792">
      <c r="D792" s="1"/>
    </row>
    <row r="793">
      <c r="D793" s="1"/>
    </row>
    <row r="794">
      <c r="D794" s="1"/>
    </row>
    <row r="795">
      <c r="D795" s="1"/>
    </row>
    <row r="796">
      <c r="D796" s="1"/>
    </row>
    <row r="797">
      <c r="D797" s="1"/>
    </row>
    <row r="798">
      <c r="D798" s="1"/>
    </row>
    <row r="799">
      <c r="D799" s="1"/>
    </row>
    <row r="800">
      <c r="D800" s="1"/>
    </row>
    <row r="801">
      <c r="D801" s="1"/>
    </row>
    <row r="802">
      <c r="D802" s="1"/>
    </row>
    <row r="803">
      <c r="D803" s="1"/>
    </row>
    <row r="804">
      <c r="D804" s="1"/>
    </row>
    <row r="805">
      <c r="D805" s="1"/>
    </row>
    <row r="806">
      <c r="D806" s="1"/>
    </row>
    <row r="807">
      <c r="D807" s="1"/>
    </row>
    <row r="808">
      <c r="D808" s="1"/>
    </row>
    <row r="809">
      <c r="D809" s="1"/>
    </row>
    <row r="810">
      <c r="D810" s="1"/>
    </row>
    <row r="811">
      <c r="D811" s="1"/>
    </row>
    <row r="812">
      <c r="D812" s="1"/>
    </row>
    <row r="813">
      <c r="D813" s="1"/>
    </row>
    <row r="814">
      <c r="D814" s="1"/>
    </row>
    <row r="815">
      <c r="D815" s="1"/>
    </row>
    <row r="816">
      <c r="D816" s="1"/>
    </row>
    <row r="817">
      <c r="D817" s="1"/>
    </row>
    <row r="818">
      <c r="D818" s="1"/>
    </row>
    <row r="819">
      <c r="D819" s="1"/>
    </row>
    <row r="820">
      <c r="D820" s="1"/>
    </row>
    <row r="821">
      <c r="D821" s="1"/>
    </row>
    <row r="822">
      <c r="D822" s="1"/>
    </row>
    <row r="823">
      <c r="D823" s="1"/>
    </row>
    <row r="824">
      <c r="D824" s="1"/>
    </row>
    <row r="825">
      <c r="D825" s="1"/>
    </row>
    <row r="826">
      <c r="D826" s="1"/>
    </row>
    <row r="827">
      <c r="D827" s="1"/>
    </row>
    <row r="828">
      <c r="D828" s="1"/>
    </row>
    <row r="829">
      <c r="D829" s="1"/>
    </row>
    <row r="830">
      <c r="D830" s="1"/>
    </row>
    <row r="831">
      <c r="D831" s="1"/>
    </row>
    <row r="832">
      <c r="D832" s="1"/>
    </row>
    <row r="833">
      <c r="D833" s="1"/>
    </row>
    <row r="834">
      <c r="D834" s="1"/>
    </row>
    <row r="835">
      <c r="D835" s="1"/>
    </row>
    <row r="836">
      <c r="D836" s="1"/>
    </row>
    <row r="837">
      <c r="D837" s="1"/>
    </row>
    <row r="838">
      <c r="D838" s="1"/>
    </row>
    <row r="839">
      <c r="D839" s="1"/>
    </row>
    <row r="840">
      <c r="D840" s="1"/>
    </row>
    <row r="841">
      <c r="D841" s="1"/>
    </row>
    <row r="842">
      <c r="D842" s="1"/>
    </row>
    <row r="843">
      <c r="D843" s="1"/>
    </row>
    <row r="844">
      <c r="D844" s="1"/>
    </row>
    <row r="845">
      <c r="D845" s="1"/>
    </row>
    <row r="846">
      <c r="D846" s="1"/>
    </row>
    <row r="847">
      <c r="D847" s="1"/>
    </row>
    <row r="848">
      <c r="D848" s="1"/>
    </row>
    <row r="849">
      <c r="D849" s="1"/>
    </row>
    <row r="850">
      <c r="D850" s="1"/>
    </row>
    <row r="851">
      <c r="D851" s="1"/>
    </row>
    <row r="852">
      <c r="D852" s="1"/>
    </row>
    <row r="853">
      <c r="D853" s="1"/>
    </row>
    <row r="854">
      <c r="D854" s="1"/>
    </row>
    <row r="855">
      <c r="D855" s="1"/>
    </row>
    <row r="856">
      <c r="D856" s="1"/>
    </row>
    <row r="857">
      <c r="D857" s="1"/>
    </row>
    <row r="858">
      <c r="D858" s="1"/>
    </row>
    <row r="859">
      <c r="D859" s="1"/>
    </row>
    <row r="860">
      <c r="D860" s="1"/>
    </row>
    <row r="861">
      <c r="D861" s="1"/>
    </row>
    <row r="862">
      <c r="D862" s="1"/>
    </row>
    <row r="863">
      <c r="D863" s="1"/>
    </row>
    <row r="864">
      <c r="D864" s="1"/>
    </row>
    <row r="865">
      <c r="D865" s="1"/>
    </row>
    <row r="866">
      <c r="D866" s="1"/>
    </row>
    <row r="867">
      <c r="D867" s="1"/>
    </row>
    <row r="868">
      <c r="D868" s="1"/>
    </row>
    <row r="869">
      <c r="D869" s="1"/>
    </row>
    <row r="870">
      <c r="D870" s="1"/>
    </row>
    <row r="871">
      <c r="D871" s="1"/>
    </row>
    <row r="872">
      <c r="D872" s="1"/>
    </row>
    <row r="873">
      <c r="D873" s="1"/>
    </row>
    <row r="874">
      <c r="D874" s="1"/>
    </row>
    <row r="875">
      <c r="D875" s="1"/>
    </row>
    <row r="876">
      <c r="D876" s="1"/>
    </row>
    <row r="877">
      <c r="D877" s="1"/>
    </row>
    <row r="878">
      <c r="D878" s="1"/>
    </row>
    <row r="879">
      <c r="D879" s="1"/>
    </row>
    <row r="880">
      <c r="D880" s="1"/>
    </row>
    <row r="881">
      <c r="D881" s="1"/>
    </row>
    <row r="882">
      <c r="D882" s="1"/>
    </row>
    <row r="883">
      <c r="D883" s="1"/>
    </row>
    <row r="884">
      <c r="D884" s="1"/>
    </row>
    <row r="885">
      <c r="D885" s="1"/>
    </row>
    <row r="886">
      <c r="D886" s="1"/>
    </row>
    <row r="887">
      <c r="D887" s="1"/>
    </row>
    <row r="888">
      <c r="D888" s="1"/>
    </row>
    <row r="889">
      <c r="D889" s="1"/>
    </row>
    <row r="890">
      <c r="D890" s="1"/>
    </row>
    <row r="891">
      <c r="D891" s="1"/>
    </row>
    <row r="892">
      <c r="D892" s="1"/>
    </row>
    <row r="893">
      <c r="D893" s="1"/>
    </row>
    <row r="894">
      <c r="D894" s="1"/>
    </row>
    <row r="895">
      <c r="D895" s="1"/>
    </row>
    <row r="896">
      <c r="D896" s="1"/>
    </row>
    <row r="897">
      <c r="D897" s="1"/>
    </row>
    <row r="898">
      <c r="D898" s="1"/>
    </row>
    <row r="899">
      <c r="D899" s="1"/>
    </row>
    <row r="900">
      <c r="D900" s="1"/>
    </row>
    <row r="901">
      <c r="D901" s="1"/>
    </row>
    <row r="902">
      <c r="D902" s="1"/>
    </row>
    <row r="903">
      <c r="D903" s="1"/>
    </row>
    <row r="904">
      <c r="D904" s="1"/>
    </row>
    <row r="905">
      <c r="D905" s="1"/>
    </row>
    <row r="906">
      <c r="D906" s="1"/>
    </row>
    <row r="907">
      <c r="D907" s="1"/>
    </row>
    <row r="908">
      <c r="D908" s="1"/>
    </row>
    <row r="909">
      <c r="D909" s="1"/>
    </row>
    <row r="910">
      <c r="D910" s="1"/>
    </row>
    <row r="911">
      <c r="D911" s="1"/>
    </row>
    <row r="912">
      <c r="D912" s="1"/>
    </row>
    <row r="913">
      <c r="D913" s="1"/>
    </row>
    <row r="914">
      <c r="D914" s="1"/>
    </row>
    <row r="915">
      <c r="D915" s="1"/>
    </row>
    <row r="916">
      <c r="D916" s="1"/>
    </row>
    <row r="917">
      <c r="D917" s="1"/>
    </row>
    <row r="918">
      <c r="D918" s="1"/>
    </row>
    <row r="919">
      <c r="D919" s="1"/>
    </row>
    <row r="920">
      <c r="D920" s="1"/>
    </row>
    <row r="921">
      <c r="D921" s="1"/>
    </row>
    <row r="922">
      <c r="D922" s="1"/>
    </row>
    <row r="923">
      <c r="D923" s="1"/>
    </row>
    <row r="924">
      <c r="D924" s="1"/>
    </row>
    <row r="925">
      <c r="D925" s="1"/>
    </row>
    <row r="926">
      <c r="D926" s="1"/>
    </row>
    <row r="927">
      <c r="D927" s="1"/>
    </row>
    <row r="928">
      <c r="D928" s="1"/>
    </row>
    <row r="929">
      <c r="D929" s="1"/>
    </row>
    <row r="930">
      <c r="D930" s="1"/>
    </row>
    <row r="931">
      <c r="D931" s="1"/>
    </row>
    <row r="932">
      <c r="D932" s="1"/>
    </row>
    <row r="933">
      <c r="D933" s="1"/>
    </row>
    <row r="934">
      <c r="D934" s="1"/>
    </row>
    <row r="935">
      <c r="D935" s="1"/>
    </row>
    <row r="936">
      <c r="D936" s="1"/>
    </row>
    <row r="937">
      <c r="D937" s="1"/>
    </row>
    <row r="938">
      <c r="D938" s="1"/>
    </row>
    <row r="939">
      <c r="D939" s="1"/>
    </row>
    <row r="940">
      <c r="D940" s="1"/>
    </row>
    <row r="941">
      <c r="D941" s="1"/>
    </row>
    <row r="942">
      <c r="D942" s="1"/>
    </row>
    <row r="943">
      <c r="D943" s="1"/>
    </row>
    <row r="944">
      <c r="D944" s="1"/>
    </row>
    <row r="945">
      <c r="D945" s="1"/>
    </row>
    <row r="946">
      <c r="D946" s="1"/>
    </row>
    <row r="947">
      <c r="D947" s="1"/>
    </row>
    <row r="948">
      <c r="D948" s="1"/>
    </row>
    <row r="949">
      <c r="D949" s="1"/>
    </row>
    <row r="950">
      <c r="D950" s="1"/>
    </row>
    <row r="951">
      <c r="D951" s="1"/>
    </row>
    <row r="952">
      <c r="D952" s="1"/>
    </row>
    <row r="953">
      <c r="D953" s="1"/>
    </row>
    <row r="954">
      <c r="D954" s="1"/>
    </row>
    <row r="955">
      <c r="D955" s="1"/>
    </row>
    <row r="956">
      <c r="D956" s="1"/>
    </row>
    <row r="957">
      <c r="D957" s="1"/>
    </row>
    <row r="958">
      <c r="D958" s="1"/>
    </row>
    <row r="959">
      <c r="D959" s="1"/>
    </row>
    <row r="960">
      <c r="D960" s="1"/>
    </row>
    <row r="961">
      <c r="D961" s="1"/>
    </row>
    <row r="962">
      <c r="D962" s="1"/>
    </row>
    <row r="963">
      <c r="D963" s="1"/>
    </row>
    <row r="964">
      <c r="D964" s="1"/>
    </row>
    <row r="965">
      <c r="D965" s="1"/>
    </row>
    <row r="966">
      <c r="D966" s="1"/>
    </row>
    <row r="967">
      <c r="D967" s="1"/>
    </row>
    <row r="968">
      <c r="D968" s="1"/>
    </row>
    <row r="969">
      <c r="D969" s="1"/>
    </row>
    <row r="970">
      <c r="D970" s="1"/>
    </row>
    <row r="971">
      <c r="D971" s="1"/>
    </row>
    <row r="972">
      <c r="D972" s="1"/>
    </row>
    <row r="973">
      <c r="D973" s="1"/>
    </row>
    <row r="974">
      <c r="D974" s="1"/>
    </row>
    <row r="975">
      <c r="D975" s="1"/>
    </row>
    <row r="976">
      <c r="D976" s="1"/>
    </row>
    <row r="977">
      <c r="D977" s="1"/>
    </row>
    <row r="978">
      <c r="D978" s="1"/>
    </row>
    <row r="979">
      <c r="D979" s="1"/>
    </row>
    <row r="980">
      <c r="D980" s="1"/>
    </row>
    <row r="981">
      <c r="D981" s="1"/>
    </row>
    <row r="982">
      <c r="D982" s="1"/>
    </row>
    <row r="983">
      <c r="D983" s="1"/>
    </row>
    <row r="984">
      <c r="D984" s="1"/>
    </row>
    <row r="985">
      <c r="D985" s="1"/>
    </row>
    <row r="986">
      <c r="D986" s="1"/>
    </row>
    <row r="987">
      <c r="D987" s="1"/>
    </row>
    <row r="988">
      <c r="D988" s="1"/>
    </row>
    <row r="989">
      <c r="D989" s="1"/>
    </row>
    <row r="990">
      <c r="D990" s="1"/>
    </row>
    <row r="991">
      <c r="D991" s="1"/>
    </row>
    <row r="992">
      <c r="D992" s="1"/>
    </row>
    <row r="993">
      <c r="D993" s="1"/>
    </row>
    <row r="994">
      <c r="D994" s="1"/>
    </row>
    <row r="995">
      <c r="D995" s="1"/>
    </row>
    <row r="996">
      <c r="D996" s="1"/>
    </row>
    <row r="997">
      <c r="D997" s="1"/>
    </row>
    <row r="998">
      <c r="D998" s="1"/>
    </row>
    <row r="999">
      <c r="D999" s="1"/>
    </row>
    <row r="1000">
      <c r="D1000" s="1"/>
    </row>
    <row r="1001">
      <c r="D1001" s="1"/>
    </row>
    <row r="1002">
      <c r="D1002" s="1"/>
    </row>
    <row r="1003">
      <c r="D1003" s="1"/>
    </row>
    <row r="1004">
      <c r="D1004" s="1"/>
    </row>
    <row r="1005">
      <c r="D1005" s="1"/>
    </row>
    <row r="1006">
      <c r="D1006" s="1"/>
    </row>
    <row r="1007">
      <c r="D1007" s="1"/>
    </row>
    <row r="1008">
      <c r="D1008" s="1"/>
    </row>
    <row r="1009">
      <c r="D1009" s="1"/>
    </row>
    <row r="1010">
      <c r="D1010" s="1"/>
    </row>
    <row r="1011">
      <c r="D1011" s="1"/>
    </row>
    <row r="1012">
      <c r="D1012" s="1"/>
    </row>
    <row r="1013">
      <c r="D1013" s="1"/>
    </row>
    <row r="1014">
      <c r="D1014" s="1"/>
    </row>
    <row r="1015">
      <c r="D1015" s="1"/>
    </row>
  </sheetData>
  <mergeCells count="2">
    <mergeCell ref="B48:C48"/>
    <mergeCell ref="B49:C49"/>
  </mergeCells>
  <dataValidations>
    <dataValidation type="list" allowBlank="1" showErrorMessage="1" sqref="E7:J7 E10:J10 I11 E12:J13 E21:J23 E28:J33 E35:J45 E51:J53">
      <formula1>"No,Partial,Yes,Yes, off-cycle,TBD,N/A"</formula1>
    </dataValidation>
    <dataValidation type="list" allowBlank="1" showErrorMessage="1" sqref="E14:J14">
      <formula1>"Limited Routes,All Routes"</formula1>
    </dataValidation>
    <dataValidation type="list" allowBlank="1" showErrorMessage="1" sqref="E24:J24">
      <formula1>"Hub,Hub + BMW ATS,BMW ATS,dnata fms"</formula1>
    </dataValidation>
    <dataValidation type="list" allowBlank="1" showErrorMessage="1" sqref="E34:J34">
      <formula1>"No,Yes,Partial,TBD"</formula1>
    </dataValidation>
    <dataValidation type="list" allowBlank="1" showErrorMessage="1" sqref="E17:J17">
      <formula1>"Clear / level,Identify voids,Puddle/snow patches &gt; 1m2"</formula1>
    </dataValidation>
    <dataValidation type="list" allowBlank="1" showErrorMessage="1" sqref="E16:J16">
      <formula1>"3-season (above freezing),Year-Round"</formula1>
    </dataValidation>
    <dataValidation type="list" allowBlank="1" showErrorMessage="1" sqref="E18:J18">
      <formula1>"High, &gt; 100 m,Med &gt; 50 m,Low &gt; 10 m"</formula1>
    </dataValidation>
    <dataValidation type="list" allowBlank="1" showErrorMessage="1" sqref="E11:H11 J11">
      <formula1>"No,Not Req'd,Yes"</formula1>
    </dataValidation>
    <dataValidation type="list" allowBlank="1" showErrorMessage="1" sqref="E8:J8">
      <formula1>"No,Yes,Rarely,Partial"</formula1>
    </dataValidation>
    <dataValidation type="list" allowBlank="1" showErrorMessage="1" sqref="E19:J19">
      <formula1>"Day, glare,Night &gt; 12 LUX,Night &lt; 12 LUX"</formula1>
    </dataValidation>
    <dataValidation type="list" allowBlank="1" showErrorMessage="1" sqref="E9:J9">
      <formula1>"Local,Remote,Unsupervised"</formula1>
    </dataValidation>
    <dataValidation type="list" allowBlank="1" showErrorMessage="1" sqref="E25:J25">
      <formula1>"GCP (not BMW approved),TBC (BMW Approved),GCP,TBD"</formula1>
    </dataValidation>
  </dataValidation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75"/>
    <col customWidth="1" min="2" max="2" width="61.5"/>
    <col customWidth="1" min="3" max="3" width="16.0"/>
    <col customWidth="1" min="4" max="4" width="14.88"/>
    <col customWidth="1" min="5" max="5" width="14.25"/>
    <col customWidth="1" min="6" max="6" width="14.63"/>
    <col customWidth="1" min="7" max="8" width="16.38"/>
    <col customWidth="1" min="9" max="9" width="120.88"/>
  </cols>
  <sheetData>
    <row r="1">
      <c r="C1" s="104" t="s">
        <v>294</v>
      </c>
      <c r="D1" s="104" t="s">
        <v>295</v>
      </c>
      <c r="E1" s="105" t="s">
        <v>296</v>
      </c>
      <c r="F1" s="105" t="s">
        <v>295</v>
      </c>
      <c r="G1" s="104" t="s">
        <v>297</v>
      </c>
      <c r="H1" s="104" t="s">
        <v>295</v>
      </c>
      <c r="I1" s="88" t="s">
        <v>298</v>
      </c>
    </row>
    <row r="2">
      <c r="A2" s="75" t="s">
        <v>299</v>
      </c>
      <c r="B2" s="75" t="s">
        <v>300</v>
      </c>
      <c r="C2" s="106"/>
      <c r="D2" s="106"/>
      <c r="E2" s="107"/>
      <c r="F2" s="107"/>
      <c r="G2" s="106"/>
      <c r="H2" s="106"/>
    </row>
    <row r="3">
      <c r="A3" s="88">
        <v>0.0</v>
      </c>
      <c r="B3" s="88" t="s">
        <v>301</v>
      </c>
      <c r="C3" s="108" t="str">
        <f t="shared" ref="C3:D3" si="1">'CA500'!B4</f>
        <v>#REF!</v>
      </c>
      <c r="D3" s="106" t="str">
        <f t="shared" si="1"/>
        <v>#REF!</v>
      </c>
      <c r="E3" s="109" t="s">
        <v>281</v>
      </c>
      <c r="F3" s="109" t="s">
        <v>281</v>
      </c>
      <c r="G3" s="108" t="s">
        <v>281</v>
      </c>
      <c r="H3" s="108" t="s">
        <v>281</v>
      </c>
      <c r="I3" s="88" t="s">
        <v>302</v>
      </c>
    </row>
    <row r="4">
      <c r="A4" s="110" t="s">
        <v>303</v>
      </c>
      <c r="B4" s="88" t="s">
        <v>304</v>
      </c>
      <c r="C4" s="106" t="str">
        <f t="shared" ref="C4:D4" si="2">'CA500'!B6</f>
        <v>#REF!</v>
      </c>
      <c r="D4" s="106" t="str">
        <f t="shared" si="2"/>
        <v>#REF!</v>
      </c>
      <c r="E4" s="109" t="s">
        <v>281</v>
      </c>
      <c r="F4" s="109" t="s">
        <v>281</v>
      </c>
      <c r="G4" s="108" t="s">
        <v>281</v>
      </c>
      <c r="H4" s="108" t="s">
        <v>281</v>
      </c>
      <c r="I4" s="88" t="s">
        <v>305</v>
      </c>
    </row>
    <row r="5">
      <c r="A5" s="110" t="s">
        <v>306</v>
      </c>
      <c r="B5" s="88" t="s">
        <v>307</v>
      </c>
      <c r="C5" s="106" t="str">
        <f t="shared" ref="C5:D5" si="3">C4</f>
        <v>#REF!</v>
      </c>
      <c r="D5" s="106" t="str">
        <f t="shared" si="3"/>
        <v>#REF!</v>
      </c>
      <c r="E5" s="109" t="s">
        <v>281</v>
      </c>
      <c r="F5" s="109" t="s">
        <v>281</v>
      </c>
      <c r="G5" s="108" t="s">
        <v>281</v>
      </c>
      <c r="H5" s="108" t="s">
        <v>281</v>
      </c>
      <c r="I5" s="88" t="s">
        <v>308</v>
      </c>
    </row>
    <row r="6">
      <c r="A6" s="88">
        <v>2.0</v>
      </c>
      <c r="B6" s="88" t="s">
        <v>309</v>
      </c>
      <c r="C6" s="106"/>
      <c r="D6" s="106"/>
      <c r="E6" s="107"/>
      <c r="F6" s="107"/>
      <c r="G6" s="108" t="s">
        <v>310</v>
      </c>
      <c r="H6" s="108" t="s">
        <v>310</v>
      </c>
      <c r="I6" s="88" t="s">
        <v>311</v>
      </c>
    </row>
    <row r="7">
      <c r="A7" s="88">
        <v>3.0</v>
      </c>
      <c r="B7" s="88" t="s">
        <v>312</v>
      </c>
      <c r="C7" s="106" t="str">
        <f t="shared" ref="C7:D7" si="4">'CA500'!B7</f>
        <v>#REF!</v>
      </c>
      <c r="D7" s="106" t="str">
        <f t="shared" si="4"/>
        <v>#REF!</v>
      </c>
      <c r="E7" s="111" t="s">
        <v>310</v>
      </c>
      <c r="F7" s="111" t="s">
        <v>310</v>
      </c>
      <c r="G7" s="108" t="s">
        <v>310</v>
      </c>
      <c r="H7" s="108" t="s">
        <v>310</v>
      </c>
      <c r="I7" s="88" t="s">
        <v>311</v>
      </c>
    </row>
    <row r="8">
      <c r="A8" s="88">
        <v>4.0</v>
      </c>
      <c r="B8" s="88" t="s">
        <v>313</v>
      </c>
      <c r="C8" s="106"/>
      <c r="D8" s="106"/>
      <c r="E8" s="107"/>
      <c r="F8" s="107"/>
      <c r="G8" s="106"/>
      <c r="H8" s="106"/>
    </row>
    <row r="9">
      <c r="C9" s="112"/>
      <c r="D9" s="112"/>
      <c r="E9" s="112"/>
      <c r="F9" s="112"/>
      <c r="G9" s="112"/>
      <c r="H9" s="112"/>
    </row>
    <row r="10">
      <c r="C10" s="112"/>
      <c r="D10" s="112"/>
      <c r="E10" s="112"/>
      <c r="F10" s="112"/>
      <c r="G10" s="112"/>
      <c r="H10" s="112"/>
    </row>
    <row r="11">
      <c r="C11" s="112"/>
      <c r="D11" s="112"/>
      <c r="E11" s="112"/>
      <c r="F11" s="112"/>
      <c r="G11" s="112"/>
      <c r="H11" s="112"/>
    </row>
    <row r="12">
      <c r="C12" s="112"/>
      <c r="D12" s="112"/>
      <c r="E12" s="112"/>
      <c r="F12" s="112"/>
      <c r="G12" s="112"/>
      <c r="H12" s="112"/>
    </row>
    <row r="13">
      <c r="C13" s="112"/>
      <c r="D13" s="112"/>
      <c r="E13" s="112"/>
      <c r="F13" s="112"/>
      <c r="G13" s="112"/>
      <c r="H13" s="112"/>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Row="1"/>
  <cols>
    <col customWidth="1" min="2" max="2" width="14.25"/>
    <col customWidth="1" min="3" max="3" width="83.63"/>
    <col customWidth="1" min="4" max="4" width="41.25"/>
    <col customWidth="1" min="5" max="5" width="8.63"/>
    <col customWidth="1" min="6" max="6" width="30.75"/>
  </cols>
  <sheetData>
    <row r="1">
      <c r="A1" s="113" t="s">
        <v>314</v>
      </c>
      <c r="B1" s="114" t="s">
        <v>315</v>
      </c>
      <c r="C1" s="114" t="s">
        <v>316</v>
      </c>
      <c r="D1" s="114" t="s">
        <v>317</v>
      </c>
      <c r="E1" s="114" t="s">
        <v>318</v>
      </c>
      <c r="F1" s="114" t="s">
        <v>319</v>
      </c>
    </row>
    <row r="2" ht="31.5" customHeight="1">
      <c r="A2" s="115" t="s">
        <v>320</v>
      </c>
      <c r="B2" s="116" t="s">
        <v>321</v>
      </c>
      <c r="C2" s="117" t="s">
        <v>321</v>
      </c>
      <c r="D2" s="118"/>
      <c r="E2" s="118" t="s">
        <v>322</v>
      </c>
      <c r="F2" s="119"/>
    </row>
    <row r="3" ht="31.5" customHeight="1" outlineLevel="1">
      <c r="A3" s="120"/>
      <c r="B3" s="116" t="s">
        <v>323</v>
      </c>
      <c r="C3" s="117" t="s">
        <v>324</v>
      </c>
      <c r="D3" s="118"/>
      <c r="E3" s="118" t="s">
        <v>322</v>
      </c>
      <c r="F3" s="119"/>
    </row>
    <row r="4" ht="31.5" customHeight="1" outlineLevel="1">
      <c r="A4" s="120"/>
      <c r="B4" s="116" t="s">
        <v>325</v>
      </c>
      <c r="C4" s="117" t="s">
        <v>326</v>
      </c>
      <c r="D4" s="118" t="s">
        <v>327</v>
      </c>
      <c r="E4" s="118" t="s">
        <v>322</v>
      </c>
      <c r="F4" s="119"/>
    </row>
    <row r="5" ht="31.5" customHeight="1" outlineLevel="1">
      <c r="A5" s="120"/>
      <c r="B5" s="116" t="s">
        <v>328</v>
      </c>
      <c r="C5" s="117" t="s">
        <v>329</v>
      </c>
      <c r="D5" s="118" t="s">
        <v>330</v>
      </c>
      <c r="E5" s="118" t="s">
        <v>322</v>
      </c>
      <c r="F5" s="119"/>
    </row>
    <row r="6" ht="31.5" customHeight="1" outlineLevel="1">
      <c r="A6" s="120"/>
      <c r="B6" s="116" t="s">
        <v>331</v>
      </c>
      <c r="C6" s="117" t="s">
        <v>332</v>
      </c>
      <c r="D6" s="118" t="s">
        <v>333</v>
      </c>
      <c r="E6" s="118" t="s">
        <v>334</v>
      </c>
      <c r="F6" s="119"/>
    </row>
    <row r="7" ht="31.5" customHeight="1" outlineLevel="1">
      <c r="A7" s="120"/>
      <c r="B7" s="116" t="s">
        <v>335</v>
      </c>
      <c r="C7" s="121" t="s">
        <v>336</v>
      </c>
      <c r="D7" s="118" t="s">
        <v>337</v>
      </c>
      <c r="E7" s="118"/>
      <c r="F7" s="119"/>
    </row>
    <row r="8" ht="31.5" customHeight="1" outlineLevel="1">
      <c r="A8" s="120"/>
      <c r="B8" s="116" t="s">
        <v>338</v>
      </c>
      <c r="C8" s="117" t="s">
        <v>339</v>
      </c>
      <c r="D8" s="118"/>
      <c r="E8" s="118" t="s">
        <v>340</v>
      </c>
      <c r="F8" s="119"/>
    </row>
    <row r="9" ht="31.5" customHeight="1" outlineLevel="1">
      <c r="A9" s="120"/>
      <c r="B9" s="116" t="s">
        <v>341</v>
      </c>
      <c r="C9" s="117" t="s">
        <v>342</v>
      </c>
      <c r="D9" s="118"/>
      <c r="E9" s="118" t="s">
        <v>340</v>
      </c>
      <c r="F9" s="119"/>
    </row>
    <row r="10" ht="31.5" customHeight="1" outlineLevel="1">
      <c r="A10" s="120"/>
      <c r="B10" s="116" t="s">
        <v>343</v>
      </c>
      <c r="C10" s="117" t="s">
        <v>344</v>
      </c>
      <c r="D10" s="118"/>
      <c r="E10" s="118" t="s">
        <v>340</v>
      </c>
      <c r="F10" s="119"/>
    </row>
    <row r="11" ht="31.5" customHeight="1" outlineLevel="1">
      <c r="A11" s="120"/>
      <c r="B11" s="116" t="s">
        <v>345</v>
      </c>
      <c r="C11" s="117" t="s">
        <v>346</v>
      </c>
      <c r="D11" s="118"/>
      <c r="E11" s="118" t="s">
        <v>340</v>
      </c>
      <c r="F11" s="119"/>
    </row>
    <row r="12" ht="31.5" customHeight="1" outlineLevel="1">
      <c r="A12" s="122"/>
      <c r="B12" s="116"/>
      <c r="C12" s="117"/>
      <c r="D12" s="118"/>
      <c r="E12" s="118"/>
      <c r="F12" s="119"/>
    </row>
    <row r="13" ht="31.5" customHeight="1">
      <c r="A13" s="123" t="s">
        <v>347</v>
      </c>
      <c r="B13" s="124" t="s">
        <v>348</v>
      </c>
      <c r="C13" s="125" t="s">
        <v>349</v>
      </c>
      <c r="D13" s="126" t="s">
        <v>350</v>
      </c>
      <c r="E13" s="126" t="s">
        <v>322</v>
      </c>
      <c r="F13" s="127"/>
    </row>
    <row r="14" ht="31.5" customHeight="1" outlineLevel="1">
      <c r="A14" s="128"/>
      <c r="B14" s="129" t="s">
        <v>351</v>
      </c>
      <c r="C14" s="130" t="s">
        <v>352</v>
      </c>
      <c r="D14" s="131" t="s">
        <v>353</v>
      </c>
      <c r="E14" s="131" t="s">
        <v>322</v>
      </c>
      <c r="F14" s="132"/>
    </row>
    <row r="15" ht="31.5" customHeight="1" outlineLevel="1">
      <c r="A15" s="133"/>
      <c r="B15" s="134" t="s">
        <v>354</v>
      </c>
      <c r="C15" s="135" t="s">
        <v>355</v>
      </c>
      <c r="D15" s="136" t="s">
        <v>356</v>
      </c>
      <c r="E15" s="136" t="s">
        <v>334</v>
      </c>
      <c r="F15" s="137"/>
    </row>
    <row r="16" ht="31.5" customHeight="1" outlineLevel="1">
      <c r="A16" s="128"/>
      <c r="B16" s="129" t="s">
        <v>357</v>
      </c>
      <c r="C16" s="130" t="s">
        <v>358</v>
      </c>
      <c r="D16" s="131" t="s">
        <v>359</v>
      </c>
      <c r="E16" s="131" t="s">
        <v>334</v>
      </c>
      <c r="F16" s="132"/>
    </row>
    <row r="17" ht="31.5" customHeight="1" outlineLevel="1">
      <c r="A17" s="133"/>
      <c r="B17" s="134" t="s">
        <v>360</v>
      </c>
      <c r="C17" s="138" t="s">
        <v>361</v>
      </c>
      <c r="D17" s="139" t="s">
        <v>101</v>
      </c>
      <c r="E17" s="139" t="s">
        <v>340</v>
      </c>
      <c r="F17" s="140"/>
    </row>
    <row r="18" ht="31.5" customHeight="1" outlineLevel="1">
      <c r="A18" s="141"/>
      <c r="B18" s="142"/>
      <c r="C18" s="143"/>
      <c r="D18" s="144"/>
      <c r="E18" s="144"/>
      <c r="F18" s="145"/>
    </row>
    <row r="19" ht="31.5" customHeight="1">
      <c r="A19" s="146" t="s">
        <v>362</v>
      </c>
      <c r="B19" s="147" t="s">
        <v>363</v>
      </c>
      <c r="C19" s="148" t="s">
        <v>364</v>
      </c>
      <c r="D19" s="149" t="s">
        <v>365</v>
      </c>
      <c r="E19" s="149" t="s">
        <v>322</v>
      </c>
      <c r="F19" s="150"/>
    </row>
    <row r="20" ht="31.5" customHeight="1" outlineLevel="1">
      <c r="A20" s="128"/>
      <c r="B20" s="129" t="s">
        <v>366</v>
      </c>
      <c r="C20" s="151" t="s">
        <v>367</v>
      </c>
      <c r="D20" s="152" t="s">
        <v>368</v>
      </c>
      <c r="E20" s="152" t="s">
        <v>334</v>
      </c>
      <c r="F20" s="153"/>
    </row>
    <row r="21" ht="31.5" customHeight="1" outlineLevel="1">
      <c r="A21" s="133"/>
      <c r="B21" s="134" t="s">
        <v>369</v>
      </c>
      <c r="C21" s="138" t="s">
        <v>370</v>
      </c>
      <c r="D21" s="139" t="s">
        <v>371</v>
      </c>
      <c r="E21" s="139" t="s">
        <v>340</v>
      </c>
      <c r="F21" s="140"/>
    </row>
    <row r="22" ht="31.5" customHeight="1" outlineLevel="1">
      <c r="A22" s="128"/>
      <c r="B22" s="129" t="s">
        <v>372</v>
      </c>
      <c r="C22" s="151" t="s">
        <v>373</v>
      </c>
      <c r="D22" s="152" t="s">
        <v>374</v>
      </c>
      <c r="E22" s="152" t="s">
        <v>340</v>
      </c>
      <c r="F22" s="153"/>
    </row>
    <row r="23" ht="31.5" customHeight="1" outlineLevel="1">
      <c r="A23" s="133"/>
      <c r="B23" s="134" t="s">
        <v>375</v>
      </c>
      <c r="C23" s="138" t="s">
        <v>376</v>
      </c>
      <c r="D23" s="139" t="s">
        <v>377</v>
      </c>
      <c r="E23" s="139" t="s">
        <v>340</v>
      </c>
      <c r="F23" s="140"/>
    </row>
    <row r="24" ht="31.5" customHeight="1" outlineLevel="1">
      <c r="A24" s="128"/>
      <c r="B24" s="129" t="s">
        <v>378</v>
      </c>
      <c r="C24" s="151" t="s">
        <v>379</v>
      </c>
      <c r="D24" s="152" t="s">
        <v>380</v>
      </c>
      <c r="E24" s="152" t="s">
        <v>340</v>
      </c>
      <c r="F24" s="153"/>
    </row>
    <row r="25" ht="31.5" customHeight="1" outlineLevel="1">
      <c r="A25" s="154"/>
      <c r="B25" s="155"/>
      <c r="C25" s="156"/>
      <c r="D25" s="157"/>
      <c r="E25" s="157"/>
      <c r="F25" s="158"/>
    </row>
    <row r="26" ht="31.5" customHeight="1">
      <c r="A26" s="159" t="s">
        <v>381</v>
      </c>
      <c r="B26" s="160" t="s">
        <v>382</v>
      </c>
      <c r="C26" s="161" t="s">
        <v>383</v>
      </c>
      <c r="D26" s="162"/>
      <c r="E26" s="163" t="s">
        <v>322</v>
      </c>
      <c r="F26" s="164"/>
    </row>
    <row r="27" ht="31.5" customHeight="1" outlineLevel="1">
      <c r="A27" s="133"/>
      <c r="B27" s="134" t="s">
        <v>384</v>
      </c>
      <c r="C27" s="135" t="s">
        <v>385</v>
      </c>
      <c r="D27" s="165"/>
      <c r="E27" s="139" t="s">
        <v>322</v>
      </c>
      <c r="F27" s="140"/>
    </row>
    <row r="28" ht="31.5" customHeight="1" outlineLevel="1">
      <c r="A28" s="128"/>
      <c r="B28" s="129" t="s">
        <v>386</v>
      </c>
      <c r="C28" s="130" t="s">
        <v>387</v>
      </c>
      <c r="D28" s="166" t="s">
        <v>388</v>
      </c>
      <c r="E28" s="152" t="s">
        <v>334</v>
      </c>
      <c r="F28" s="153"/>
    </row>
    <row r="29" ht="31.5" customHeight="1" outlineLevel="1">
      <c r="A29" s="133"/>
      <c r="B29" s="134" t="s">
        <v>389</v>
      </c>
      <c r="C29" s="138" t="s">
        <v>390</v>
      </c>
      <c r="D29" s="165"/>
      <c r="E29" s="139" t="s">
        <v>322</v>
      </c>
      <c r="F29" s="140"/>
    </row>
    <row r="30" ht="31.5" customHeight="1" outlineLevel="1">
      <c r="A30" s="128"/>
      <c r="B30" s="129" t="s">
        <v>391</v>
      </c>
      <c r="C30" s="151" t="s">
        <v>392</v>
      </c>
      <c r="D30" s="152" t="s">
        <v>393</v>
      </c>
      <c r="E30" s="152" t="s">
        <v>340</v>
      </c>
      <c r="F30" s="153"/>
    </row>
    <row r="31" ht="31.5" customHeight="1" outlineLevel="1">
      <c r="A31" s="133"/>
      <c r="B31" s="134" t="s">
        <v>394</v>
      </c>
      <c r="C31" s="138" t="s">
        <v>395</v>
      </c>
      <c r="D31" s="165"/>
      <c r="E31" s="139" t="s">
        <v>340</v>
      </c>
      <c r="F31" s="140"/>
    </row>
    <row r="32" ht="31.5" customHeight="1" outlineLevel="1">
      <c r="A32" s="141"/>
      <c r="B32" s="167"/>
      <c r="C32" s="168"/>
      <c r="D32" s="144"/>
      <c r="E32" s="144"/>
      <c r="F32" s="145"/>
    </row>
  </sheetData>
  <autoFilter ref="$A$1:$F$32"/>
  <mergeCells count="4">
    <mergeCell ref="A2:A12"/>
    <mergeCell ref="A13:A18"/>
    <mergeCell ref="A19:A25"/>
    <mergeCell ref="A26:A32"/>
  </mergeCells>
  <hyperlinks>
    <hyperlink r:id="rId2" ref="D28"/>
  </hyperlinks>
  <drawing r:id="rId3"/>
  <legacyDrawing r:id="rId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88"/>
    <col customWidth="1" min="2" max="2" width="23.88"/>
    <col customWidth="1" min="3" max="3" width="47.5"/>
    <col customWidth="1" min="4" max="4" width="40.63"/>
    <col customWidth="1" min="5" max="5" width="20.13"/>
    <col customWidth="1" min="6" max="6" width="64.75"/>
    <col customWidth="1" min="7" max="7" width="53.5"/>
  </cols>
  <sheetData>
    <row r="1">
      <c r="A1" s="169" t="s">
        <v>396</v>
      </c>
      <c r="B1" s="170"/>
      <c r="C1" s="170"/>
      <c r="D1" s="171" t="s">
        <v>397</v>
      </c>
      <c r="E1" s="172" t="s">
        <v>398</v>
      </c>
      <c r="F1" s="172" t="s">
        <v>399</v>
      </c>
      <c r="G1" s="172" t="s">
        <v>400</v>
      </c>
    </row>
    <row r="2">
      <c r="A2" s="173" t="s">
        <v>143</v>
      </c>
      <c r="B2" s="174"/>
      <c r="C2" s="174"/>
      <c r="D2" s="175" t="s">
        <v>401</v>
      </c>
      <c r="E2" s="6"/>
      <c r="F2" s="6"/>
      <c r="G2" s="6"/>
    </row>
    <row r="3">
      <c r="A3" s="176"/>
      <c r="B3" s="177"/>
      <c r="C3" s="178"/>
      <c r="D3" s="178"/>
      <c r="E3" s="179"/>
      <c r="F3" s="179"/>
      <c r="G3" s="179"/>
    </row>
    <row r="4">
      <c r="A4" s="173" t="s">
        <v>402</v>
      </c>
      <c r="B4" s="174"/>
      <c r="C4" s="180" t="s">
        <v>403</v>
      </c>
      <c r="D4" s="181" t="s">
        <v>404</v>
      </c>
      <c r="E4" s="182" t="s">
        <v>405</v>
      </c>
      <c r="F4" s="182"/>
      <c r="G4" s="183" t="s">
        <v>406</v>
      </c>
    </row>
    <row r="5">
      <c r="A5" s="176"/>
      <c r="B5" s="177"/>
      <c r="C5" s="178"/>
      <c r="D5" s="178"/>
      <c r="E5" s="179"/>
      <c r="F5" s="179"/>
      <c r="G5" s="179"/>
    </row>
    <row r="6">
      <c r="A6" s="173" t="s">
        <v>133</v>
      </c>
      <c r="B6" s="174"/>
      <c r="C6" s="180" t="s">
        <v>254</v>
      </c>
      <c r="D6" s="181" t="s">
        <v>407</v>
      </c>
      <c r="E6" s="182" t="s">
        <v>408</v>
      </c>
      <c r="F6" s="182" t="s">
        <v>409</v>
      </c>
      <c r="G6" s="183" t="s">
        <v>410</v>
      </c>
    </row>
    <row r="7">
      <c r="A7" s="173"/>
      <c r="B7" s="174"/>
      <c r="C7" s="180"/>
      <c r="D7" s="180"/>
      <c r="E7" s="182"/>
      <c r="F7" s="182" t="s">
        <v>411</v>
      </c>
      <c r="G7" s="184" t="s">
        <v>412</v>
      </c>
    </row>
    <row r="8">
      <c r="A8" s="173"/>
      <c r="B8" s="174"/>
      <c r="C8" s="180"/>
      <c r="D8" s="180"/>
      <c r="E8" s="182"/>
      <c r="F8" s="182" t="s">
        <v>413</v>
      </c>
      <c r="G8" s="183" t="s">
        <v>414</v>
      </c>
    </row>
    <row r="9">
      <c r="A9" s="176"/>
      <c r="B9" s="177"/>
      <c r="C9" s="178"/>
      <c r="D9" s="178"/>
      <c r="E9" s="179"/>
      <c r="F9" s="179"/>
      <c r="G9" s="179"/>
    </row>
    <row r="10">
      <c r="A10" s="173" t="s">
        <v>415</v>
      </c>
      <c r="B10" s="174"/>
      <c r="C10" s="180" t="s">
        <v>416</v>
      </c>
      <c r="D10" s="180"/>
      <c r="E10" s="182"/>
      <c r="F10" s="182" t="s">
        <v>417</v>
      </c>
      <c r="G10" s="183" t="s">
        <v>418</v>
      </c>
    </row>
    <row r="11">
      <c r="A11" s="176"/>
      <c r="B11" s="177"/>
      <c r="C11" s="178"/>
      <c r="D11" s="178"/>
      <c r="E11" s="179"/>
      <c r="F11" s="179"/>
      <c r="G11" s="185"/>
    </row>
    <row r="12">
      <c r="A12" s="173" t="s">
        <v>22</v>
      </c>
      <c r="B12" s="174"/>
      <c r="C12" s="180" t="s">
        <v>139</v>
      </c>
      <c r="D12" s="181" t="s">
        <v>419</v>
      </c>
      <c r="E12" s="182"/>
      <c r="F12" s="182" t="s">
        <v>420</v>
      </c>
      <c r="G12" s="183" t="s">
        <v>421</v>
      </c>
    </row>
    <row r="13">
      <c r="A13" s="173"/>
      <c r="B13" s="174"/>
      <c r="C13" s="180"/>
      <c r="D13" s="180"/>
      <c r="E13" s="182"/>
      <c r="F13" s="182"/>
      <c r="G13" s="183" t="s">
        <v>422</v>
      </c>
    </row>
    <row r="14">
      <c r="A14" s="173"/>
      <c r="B14" s="174"/>
      <c r="C14" s="180"/>
      <c r="D14" s="180"/>
      <c r="E14" s="182"/>
      <c r="F14" s="182"/>
      <c r="G14" s="186" t="s">
        <v>423</v>
      </c>
    </row>
    <row r="15">
      <c r="A15" s="176"/>
      <c r="B15" s="177"/>
      <c r="C15" s="178"/>
      <c r="D15" s="178"/>
      <c r="E15" s="179"/>
      <c r="F15" s="179"/>
      <c r="G15" s="185"/>
    </row>
    <row r="16">
      <c r="A16" s="173" t="s">
        <v>24</v>
      </c>
      <c r="B16" s="174"/>
      <c r="C16" s="180" t="s">
        <v>25</v>
      </c>
      <c r="D16" s="180"/>
      <c r="E16" s="182" t="s">
        <v>424</v>
      </c>
      <c r="F16" s="182" t="s">
        <v>101</v>
      </c>
      <c r="G16" s="183" t="s">
        <v>425</v>
      </c>
    </row>
    <row r="17">
      <c r="A17" s="173"/>
      <c r="B17" s="174"/>
      <c r="C17" s="180"/>
      <c r="D17" s="180"/>
      <c r="E17" s="182"/>
      <c r="F17" s="182"/>
      <c r="G17" s="183" t="s">
        <v>426</v>
      </c>
    </row>
    <row r="18">
      <c r="A18" s="173"/>
      <c r="B18" s="174"/>
      <c r="C18" s="180"/>
      <c r="D18" s="180"/>
      <c r="E18" s="182"/>
      <c r="F18" s="182"/>
      <c r="G18" s="183" t="s">
        <v>427</v>
      </c>
    </row>
    <row r="19">
      <c r="A19" s="173"/>
      <c r="B19" s="174"/>
      <c r="C19" s="180"/>
      <c r="D19" s="180"/>
      <c r="E19" s="182"/>
      <c r="F19" s="182"/>
      <c r="G19" s="183" t="s">
        <v>428</v>
      </c>
    </row>
    <row r="20">
      <c r="A20" s="176"/>
      <c r="B20" s="177"/>
      <c r="C20" s="178"/>
      <c r="D20" s="178"/>
      <c r="E20" s="179"/>
      <c r="F20" s="179"/>
      <c r="G20" s="185"/>
    </row>
    <row r="21">
      <c r="A21" s="173" t="s">
        <v>27</v>
      </c>
      <c r="B21" s="174"/>
      <c r="C21" s="180" t="s">
        <v>28</v>
      </c>
      <c r="D21" s="181" t="s">
        <v>429</v>
      </c>
      <c r="E21" s="6"/>
      <c r="F21" s="6"/>
      <c r="G21" s="6"/>
    </row>
    <row r="22">
      <c r="A22" s="176"/>
      <c r="B22" s="177"/>
      <c r="C22" s="178"/>
      <c r="D22" s="178"/>
      <c r="E22" s="185"/>
      <c r="F22" s="185"/>
      <c r="G22" s="185"/>
    </row>
    <row r="23">
      <c r="A23" s="173" t="s">
        <v>29</v>
      </c>
      <c r="B23" s="174"/>
      <c r="C23" s="180" t="s">
        <v>140</v>
      </c>
      <c r="D23" s="181" t="s">
        <v>430</v>
      </c>
      <c r="E23" s="182"/>
      <c r="F23" s="182" t="s">
        <v>431</v>
      </c>
      <c r="G23" s="183" t="s">
        <v>432</v>
      </c>
    </row>
    <row r="24">
      <c r="A24" s="176"/>
      <c r="B24" s="177"/>
      <c r="C24" s="177"/>
      <c r="D24" s="187"/>
      <c r="E24" s="185"/>
      <c r="F24" s="185"/>
      <c r="G24" s="185"/>
    </row>
    <row r="25">
      <c r="A25" s="173" t="s">
        <v>31</v>
      </c>
      <c r="B25" s="174"/>
      <c r="C25" s="174"/>
      <c r="D25" s="188"/>
      <c r="E25" s="6"/>
      <c r="F25" s="6"/>
      <c r="G25" s="6"/>
    </row>
    <row r="26">
      <c r="A26" s="189" t="s">
        <v>433</v>
      </c>
      <c r="B26" s="174"/>
      <c r="C26" s="180" t="s">
        <v>260</v>
      </c>
      <c r="D26" s="180"/>
      <c r="E26" s="182" t="s">
        <v>434</v>
      </c>
      <c r="F26" s="182" t="s">
        <v>435</v>
      </c>
      <c r="G26" s="6"/>
    </row>
    <row r="27">
      <c r="A27" s="190"/>
      <c r="B27" s="174" t="s">
        <v>36</v>
      </c>
      <c r="D27" s="191"/>
      <c r="E27" s="182"/>
      <c r="F27" s="182"/>
      <c r="G27" s="182"/>
    </row>
    <row r="28">
      <c r="A28" s="190"/>
      <c r="B28" s="174"/>
      <c r="C28" s="174"/>
      <c r="D28" s="188"/>
      <c r="E28" s="182"/>
      <c r="F28" s="182"/>
      <c r="G28" s="182"/>
    </row>
    <row r="29">
      <c r="A29" s="190"/>
      <c r="B29" s="174" t="s">
        <v>157</v>
      </c>
      <c r="C29" s="174"/>
      <c r="D29" s="188"/>
      <c r="E29" s="182"/>
      <c r="F29" s="182"/>
      <c r="G29" s="182" t="s">
        <v>436</v>
      </c>
    </row>
    <row r="30">
      <c r="A30" s="190"/>
      <c r="B30" s="174"/>
      <c r="C30" s="174"/>
      <c r="D30" s="188"/>
      <c r="E30" s="182"/>
      <c r="F30" s="182"/>
      <c r="G30" s="182" t="s">
        <v>437</v>
      </c>
    </row>
    <row r="31">
      <c r="A31" s="190"/>
      <c r="B31" s="174"/>
      <c r="C31" s="180"/>
      <c r="D31" s="180"/>
      <c r="E31" s="182"/>
      <c r="F31" s="182"/>
      <c r="G31" s="182" t="s">
        <v>438</v>
      </c>
    </row>
    <row r="32">
      <c r="A32" s="190"/>
      <c r="B32" s="174" t="s">
        <v>39</v>
      </c>
      <c r="C32" s="180" t="s">
        <v>439</v>
      </c>
      <c r="D32" s="180"/>
      <c r="E32" s="182"/>
      <c r="F32" s="182"/>
      <c r="G32" s="182" t="s">
        <v>162</v>
      </c>
    </row>
    <row r="33">
      <c r="A33" s="190"/>
      <c r="B33" s="174"/>
      <c r="C33" s="180"/>
      <c r="D33" s="180"/>
      <c r="E33" s="182"/>
      <c r="F33" s="182"/>
      <c r="G33" s="182" t="s">
        <v>440</v>
      </c>
    </row>
    <row r="34">
      <c r="A34" s="190"/>
      <c r="B34" s="174"/>
      <c r="C34" s="180"/>
      <c r="D34" s="180"/>
      <c r="E34" s="182"/>
      <c r="F34" s="182"/>
      <c r="G34" s="182" t="s">
        <v>441</v>
      </c>
    </row>
    <row r="35">
      <c r="A35" s="190"/>
      <c r="B35" s="174"/>
      <c r="C35" s="180"/>
      <c r="D35" s="180"/>
      <c r="E35" s="182"/>
      <c r="F35" s="182"/>
      <c r="G35" s="182" t="s">
        <v>442</v>
      </c>
    </row>
    <row r="36">
      <c r="A36" s="190"/>
      <c r="B36" s="174"/>
      <c r="C36" s="180"/>
      <c r="D36" s="180"/>
      <c r="E36" s="182"/>
      <c r="F36" s="182"/>
      <c r="G36" s="182" t="s">
        <v>443</v>
      </c>
    </row>
    <row r="37">
      <c r="A37" s="190"/>
      <c r="B37" s="174"/>
      <c r="C37" s="174"/>
      <c r="D37" s="188"/>
      <c r="E37" s="182"/>
      <c r="F37" s="182"/>
      <c r="G37" s="182" t="s">
        <v>444</v>
      </c>
    </row>
    <row r="38">
      <c r="A38" s="190"/>
      <c r="B38" s="174"/>
      <c r="C38" s="174"/>
      <c r="D38" s="188"/>
      <c r="E38" s="182"/>
      <c r="F38" s="182"/>
      <c r="G38" s="192" t="s">
        <v>445</v>
      </c>
    </row>
    <row r="39">
      <c r="A39" s="190"/>
      <c r="B39" s="174" t="s">
        <v>42</v>
      </c>
      <c r="C39" s="174"/>
      <c r="D39" s="188"/>
      <c r="E39" s="182"/>
      <c r="F39" s="182"/>
      <c r="G39" s="182" t="s">
        <v>446</v>
      </c>
    </row>
    <row r="40">
      <c r="A40" s="190"/>
      <c r="B40" s="174"/>
      <c r="C40" s="174"/>
      <c r="D40" s="188"/>
      <c r="E40" s="182"/>
      <c r="F40" s="182"/>
      <c r="G40" s="182" t="s">
        <v>447</v>
      </c>
    </row>
    <row r="41">
      <c r="A41" s="190"/>
      <c r="B41" s="174"/>
      <c r="C41" s="174"/>
      <c r="D41" s="188"/>
      <c r="E41" s="182"/>
      <c r="F41" s="182"/>
      <c r="G41" s="182" t="s">
        <v>448</v>
      </c>
    </row>
    <row r="42">
      <c r="A42" s="190"/>
      <c r="B42" s="174"/>
      <c r="C42" s="174"/>
      <c r="D42" s="188"/>
      <c r="E42" s="182"/>
      <c r="F42" s="182"/>
      <c r="G42" s="182" t="s">
        <v>449</v>
      </c>
    </row>
    <row r="43">
      <c r="A43" s="190"/>
      <c r="B43" s="174" t="s">
        <v>46</v>
      </c>
      <c r="C43" s="174"/>
      <c r="D43" s="188"/>
      <c r="E43" s="182"/>
      <c r="F43" s="182"/>
      <c r="G43" s="182" t="s">
        <v>450</v>
      </c>
    </row>
    <row r="44">
      <c r="A44" s="193"/>
      <c r="B44" s="177"/>
      <c r="C44" s="177"/>
      <c r="D44" s="187"/>
      <c r="E44" s="179"/>
      <c r="F44" s="179"/>
      <c r="G44" s="179"/>
    </row>
    <row r="45">
      <c r="A45" s="194" t="s">
        <v>451</v>
      </c>
      <c r="B45" s="195"/>
      <c r="C45" s="174"/>
      <c r="D45" s="188"/>
      <c r="E45" s="182" t="s">
        <v>452</v>
      </c>
      <c r="F45" s="182"/>
      <c r="G45" s="182"/>
    </row>
    <row r="46">
      <c r="A46" s="190"/>
      <c r="B46" s="195" t="s">
        <v>453</v>
      </c>
      <c r="C46" s="174"/>
      <c r="D46" s="175"/>
      <c r="E46" s="182"/>
      <c r="F46" s="175" t="s">
        <v>454</v>
      </c>
      <c r="G46" s="182"/>
    </row>
    <row r="47">
      <c r="A47" s="190"/>
      <c r="B47" s="195" t="s">
        <v>455</v>
      </c>
      <c r="C47" s="174"/>
      <c r="D47" s="188"/>
      <c r="E47" s="182"/>
      <c r="F47" s="182"/>
      <c r="G47" s="182" t="s">
        <v>456</v>
      </c>
    </row>
    <row r="48">
      <c r="A48" s="190"/>
      <c r="B48" s="195" t="s">
        <v>457</v>
      </c>
      <c r="C48" s="174"/>
      <c r="D48" s="188"/>
      <c r="E48" s="182"/>
      <c r="F48" s="182"/>
      <c r="G48" s="182"/>
    </row>
    <row r="49">
      <c r="A49" s="190"/>
      <c r="B49" s="174"/>
      <c r="C49" s="174"/>
      <c r="D49" s="188"/>
      <c r="E49" s="182"/>
      <c r="F49" s="182"/>
      <c r="G49" s="182"/>
    </row>
    <row r="50">
      <c r="A50" s="190"/>
      <c r="B50" s="174"/>
      <c r="C50" s="174"/>
      <c r="D50" s="188"/>
      <c r="E50" s="182"/>
      <c r="F50" s="182"/>
      <c r="G50" s="182"/>
    </row>
    <row r="51">
      <c r="A51" s="190"/>
      <c r="B51" s="174"/>
      <c r="C51" s="174"/>
      <c r="D51" s="188"/>
      <c r="E51" s="182"/>
      <c r="F51" s="182"/>
      <c r="G51" s="182"/>
    </row>
    <row r="52">
      <c r="A52" s="190"/>
      <c r="B52" s="174"/>
      <c r="C52" s="174"/>
      <c r="D52" s="188"/>
      <c r="E52" s="182"/>
      <c r="F52" s="182"/>
      <c r="G52" s="182"/>
    </row>
    <row r="53">
      <c r="A53" s="190"/>
      <c r="B53" s="174"/>
      <c r="C53" s="174"/>
      <c r="D53" s="188"/>
      <c r="E53" s="182"/>
      <c r="F53" s="182"/>
      <c r="G53" s="182"/>
    </row>
    <row r="54">
      <c r="A54" s="190"/>
      <c r="B54" s="174"/>
      <c r="C54" s="174"/>
      <c r="D54" s="188"/>
      <c r="E54" s="182"/>
      <c r="F54" s="182"/>
      <c r="G54" s="182"/>
    </row>
    <row r="55">
      <c r="A55" s="193"/>
      <c r="B55" s="177"/>
      <c r="C55" s="177"/>
      <c r="D55" s="187"/>
      <c r="E55" s="185"/>
      <c r="F55" s="185"/>
      <c r="G55" s="185"/>
    </row>
    <row r="56">
      <c r="A56" s="173" t="s">
        <v>50</v>
      </c>
      <c r="B56" s="174"/>
      <c r="C56" s="180" t="s">
        <v>167</v>
      </c>
      <c r="D56" s="180"/>
      <c r="E56" s="6"/>
      <c r="F56" s="6"/>
      <c r="G56" s="6"/>
    </row>
    <row r="57">
      <c r="A57" s="174"/>
      <c r="B57" s="196" t="s">
        <v>168</v>
      </c>
      <c r="C57" s="180" t="s">
        <v>458</v>
      </c>
      <c r="D57" s="180"/>
      <c r="E57" s="6"/>
      <c r="F57" s="6"/>
      <c r="G57" s="197" t="s">
        <v>459</v>
      </c>
    </row>
    <row r="58">
      <c r="A58" s="174"/>
      <c r="B58" s="196" t="s">
        <v>170</v>
      </c>
      <c r="C58" s="180" t="s">
        <v>460</v>
      </c>
      <c r="D58" s="180"/>
      <c r="E58" s="6"/>
      <c r="F58" s="6"/>
      <c r="G58" s="198" t="s">
        <v>461</v>
      </c>
    </row>
    <row r="59">
      <c r="A59" s="174"/>
      <c r="B59" s="196" t="s">
        <v>172</v>
      </c>
      <c r="C59" s="180" t="s">
        <v>173</v>
      </c>
      <c r="D59" s="180"/>
      <c r="E59" s="6"/>
      <c r="F59" s="6"/>
      <c r="G59" s="197" t="s">
        <v>462</v>
      </c>
    </row>
    <row r="60">
      <c r="A60" s="174"/>
      <c r="B60" s="196" t="s">
        <v>174</v>
      </c>
      <c r="C60" s="180" t="s">
        <v>463</v>
      </c>
      <c r="D60" s="180"/>
      <c r="E60" s="6"/>
      <c r="F60" s="6"/>
      <c r="G60" s="190"/>
    </row>
    <row r="61">
      <c r="A61" s="174"/>
      <c r="B61" s="196" t="s">
        <v>176</v>
      </c>
      <c r="C61" s="180" t="s">
        <v>464</v>
      </c>
      <c r="D61" s="180"/>
      <c r="E61" s="6"/>
      <c r="F61" s="6"/>
      <c r="G61" s="190"/>
    </row>
    <row r="62">
      <c r="A62" s="174"/>
      <c r="B62" s="196" t="s">
        <v>178</v>
      </c>
      <c r="C62" s="180" t="s">
        <v>465</v>
      </c>
      <c r="D62" s="180"/>
      <c r="E62" s="6"/>
      <c r="F62" s="6"/>
      <c r="G62" s="198" t="s">
        <v>466</v>
      </c>
    </row>
    <row r="63">
      <c r="A63" s="174"/>
      <c r="B63" s="196" t="s">
        <v>180</v>
      </c>
      <c r="C63" s="180" t="s">
        <v>467</v>
      </c>
      <c r="D63" s="180"/>
      <c r="E63" s="6"/>
      <c r="F63" s="6"/>
      <c r="G63" s="6"/>
    </row>
    <row r="64">
      <c r="A64" s="174"/>
      <c r="B64" s="196" t="s">
        <v>182</v>
      </c>
      <c r="C64" s="174"/>
      <c r="D64" s="188"/>
      <c r="E64" s="6"/>
      <c r="F64" s="6"/>
      <c r="G64" s="183" t="s">
        <v>468</v>
      </c>
    </row>
    <row r="65">
      <c r="A65" s="174"/>
      <c r="B65" s="199" t="s">
        <v>469</v>
      </c>
      <c r="C65" s="174"/>
      <c r="D65" s="188"/>
      <c r="E65" s="6"/>
      <c r="F65" s="6"/>
      <c r="G65" s="197" t="s">
        <v>470</v>
      </c>
    </row>
    <row r="66">
      <c r="A66" s="177"/>
      <c r="B66" s="193"/>
      <c r="C66" s="177"/>
      <c r="D66" s="187"/>
      <c r="E66" s="185"/>
      <c r="F66" s="185"/>
      <c r="G66" s="185"/>
    </row>
    <row r="67">
      <c r="A67" s="200" t="s">
        <v>56</v>
      </c>
      <c r="B67" s="200"/>
      <c r="C67" s="200"/>
      <c r="D67" s="201"/>
      <c r="E67" s="6"/>
      <c r="F67" s="6"/>
      <c r="G67" s="6"/>
    </row>
    <row r="68">
      <c r="A68" s="173" t="s">
        <v>57</v>
      </c>
      <c r="B68" s="174"/>
      <c r="C68" s="174"/>
      <c r="D68" s="188"/>
      <c r="E68" s="6"/>
      <c r="F68" s="6"/>
      <c r="G68" s="6"/>
    </row>
    <row r="69">
      <c r="A69" s="190"/>
      <c r="B69" s="174" t="s">
        <v>59</v>
      </c>
      <c r="C69" s="180" t="s">
        <v>60</v>
      </c>
      <c r="D69" s="180"/>
      <c r="E69" s="6"/>
      <c r="F69" s="6"/>
      <c r="G69" s="183" t="s">
        <v>471</v>
      </c>
    </row>
    <row r="70">
      <c r="A70" s="190"/>
      <c r="B70" s="174" t="s">
        <v>61</v>
      </c>
      <c r="C70" s="180" t="s">
        <v>62</v>
      </c>
      <c r="D70" s="180"/>
      <c r="E70" s="6"/>
      <c r="F70" s="6"/>
      <c r="G70" s="183" t="s">
        <v>472</v>
      </c>
    </row>
    <row r="71">
      <c r="A71" s="190"/>
      <c r="B71" s="174" t="s">
        <v>63</v>
      </c>
      <c r="C71" s="180" t="s">
        <v>64</v>
      </c>
      <c r="D71" s="180"/>
      <c r="E71" s="6"/>
      <c r="F71" s="6"/>
      <c r="G71" s="183" t="s">
        <v>473</v>
      </c>
    </row>
    <row r="72">
      <c r="A72" s="190"/>
      <c r="B72" s="174" t="s">
        <v>65</v>
      </c>
      <c r="C72" s="180" t="s">
        <v>66</v>
      </c>
      <c r="D72" s="180"/>
      <c r="E72" s="6"/>
      <c r="F72" s="6"/>
      <c r="G72" s="183" t="s">
        <v>474</v>
      </c>
    </row>
    <row r="73">
      <c r="A73" s="190"/>
      <c r="B73" s="174" t="s">
        <v>67</v>
      </c>
      <c r="C73" s="180" t="s">
        <v>183</v>
      </c>
      <c r="D73" s="180"/>
      <c r="E73" s="6"/>
      <c r="F73" s="6"/>
      <c r="G73" s="183" t="s">
        <v>475</v>
      </c>
    </row>
    <row r="74">
      <c r="A74" s="173" t="s">
        <v>69</v>
      </c>
      <c r="B74" s="174"/>
      <c r="C74" s="180" t="s">
        <v>70</v>
      </c>
      <c r="D74" s="180"/>
      <c r="E74" s="6"/>
      <c r="F74" s="6"/>
      <c r="G74" s="183" t="s">
        <v>473</v>
      </c>
    </row>
    <row r="75">
      <c r="A75" s="176"/>
      <c r="B75" s="177"/>
      <c r="C75" s="178"/>
      <c r="D75" s="178"/>
      <c r="E75" s="179"/>
      <c r="F75" s="179"/>
      <c r="G75" s="202"/>
    </row>
    <row r="76">
      <c r="A76" s="173" t="s">
        <v>200</v>
      </c>
      <c r="B76" s="174"/>
      <c r="C76" s="180" t="s">
        <v>201</v>
      </c>
      <c r="D76" s="181" t="s">
        <v>476</v>
      </c>
      <c r="E76" s="182" t="s">
        <v>477</v>
      </c>
      <c r="F76" s="182" t="s">
        <v>478</v>
      </c>
      <c r="G76" s="197" t="s">
        <v>479</v>
      </c>
    </row>
    <row r="77">
      <c r="A77" s="173"/>
      <c r="B77" s="174"/>
      <c r="C77" s="180"/>
      <c r="D77" s="180"/>
      <c r="E77" s="182"/>
      <c r="F77" s="182" t="s">
        <v>480</v>
      </c>
      <c r="G77" s="203" t="s">
        <v>481</v>
      </c>
    </row>
    <row r="78">
      <c r="A78" s="173"/>
      <c r="B78" s="174"/>
      <c r="C78" s="180"/>
      <c r="D78" s="180"/>
      <c r="E78" s="182"/>
      <c r="F78" s="182" t="s">
        <v>482</v>
      </c>
      <c r="G78" s="6"/>
    </row>
    <row r="79">
      <c r="A79" s="173"/>
      <c r="B79" s="174"/>
      <c r="C79" s="180"/>
      <c r="D79" s="180"/>
      <c r="E79" s="182"/>
      <c r="F79" s="182" t="s">
        <v>483</v>
      </c>
      <c r="G79" s="6"/>
    </row>
    <row r="80">
      <c r="A80" s="173"/>
      <c r="B80" s="174"/>
      <c r="C80" s="180"/>
      <c r="D80" s="180"/>
      <c r="E80" s="182"/>
      <c r="F80" s="182" t="s">
        <v>484</v>
      </c>
      <c r="G80" s="6"/>
    </row>
    <row r="81">
      <c r="A81" s="173"/>
      <c r="B81" s="174"/>
      <c r="C81" s="180"/>
      <c r="D81" s="180"/>
      <c r="E81" s="182"/>
      <c r="F81" s="182" t="s">
        <v>485</v>
      </c>
      <c r="G81" s="6"/>
    </row>
    <row r="82">
      <c r="A82" s="173"/>
      <c r="B82" s="174"/>
      <c r="C82" s="180"/>
      <c r="D82" s="180"/>
      <c r="E82" s="182"/>
      <c r="F82" s="182" t="s">
        <v>486</v>
      </c>
      <c r="G82" s="6"/>
    </row>
    <row r="83">
      <c r="A83" s="173"/>
      <c r="B83" s="174"/>
      <c r="C83" s="180"/>
      <c r="D83" s="180"/>
      <c r="E83" s="182"/>
      <c r="F83" s="182" t="s">
        <v>487</v>
      </c>
      <c r="G83" s="6"/>
    </row>
    <row r="84">
      <c r="A84" s="173"/>
      <c r="B84" s="174"/>
      <c r="C84" s="180"/>
      <c r="D84" s="180"/>
      <c r="E84" s="182"/>
      <c r="F84" s="182" t="s">
        <v>488</v>
      </c>
      <c r="G84" s="6"/>
    </row>
    <row r="85">
      <c r="A85" s="173"/>
      <c r="B85" s="174"/>
      <c r="C85" s="180"/>
      <c r="D85" s="180"/>
      <c r="E85" s="183"/>
      <c r="F85" s="183" t="s">
        <v>489</v>
      </c>
      <c r="G85" s="6"/>
    </row>
    <row r="86">
      <c r="A86" s="173"/>
      <c r="B86" s="174"/>
      <c r="C86" s="180"/>
      <c r="D86" s="180"/>
      <c r="E86" s="183"/>
      <c r="F86" s="183" t="s">
        <v>490</v>
      </c>
      <c r="G86" s="6"/>
    </row>
    <row r="87">
      <c r="A87" s="176"/>
      <c r="B87" s="177"/>
      <c r="C87" s="178"/>
      <c r="D87" s="178"/>
      <c r="E87" s="179"/>
      <c r="F87" s="179"/>
      <c r="G87" s="185"/>
    </row>
    <row r="88">
      <c r="A88" s="173" t="s">
        <v>491</v>
      </c>
      <c r="B88" s="174"/>
      <c r="C88" s="180" t="s">
        <v>492</v>
      </c>
      <c r="D88" s="181" t="s">
        <v>493</v>
      </c>
      <c r="E88" s="182" t="s">
        <v>494</v>
      </c>
      <c r="F88" s="182" t="s">
        <v>495</v>
      </c>
      <c r="G88" s="6"/>
    </row>
    <row r="89">
      <c r="A89" s="173"/>
      <c r="B89" s="174"/>
      <c r="C89" s="180"/>
      <c r="D89" s="180"/>
      <c r="E89" s="182"/>
      <c r="F89" s="182" t="s">
        <v>496</v>
      </c>
      <c r="G89" s="6"/>
    </row>
    <row r="90">
      <c r="A90" s="173"/>
      <c r="B90" s="174"/>
      <c r="C90" s="180"/>
      <c r="D90" s="180"/>
      <c r="E90" s="182"/>
      <c r="F90" s="182" t="s">
        <v>497</v>
      </c>
      <c r="G90" s="6"/>
    </row>
    <row r="91">
      <c r="A91" s="173"/>
      <c r="B91" s="174"/>
      <c r="C91" s="180"/>
      <c r="D91" s="180"/>
      <c r="E91" s="182"/>
      <c r="F91" s="182" t="s">
        <v>498</v>
      </c>
      <c r="G91" s="6"/>
    </row>
    <row r="92">
      <c r="A92" s="173"/>
      <c r="B92" s="174"/>
      <c r="C92" s="180"/>
      <c r="D92" s="180"/>
      <c r="E92" s="183"/>
      <c r="F92" s="183" t="s">
        <v>499</v>
      </c>
      <c r="G92" s="6"/>
    </row>
    <row r="93">
      <c r="A93" s="173"/>
      <c r="B93" s="174"/>
      <c r="C93" s="180"/>
      <c r="D93" s="180"/>
      <c r="E93" s="182"/>
      <c r="F93" s="182"/>
      <c r="G93" s="6"/>
    </row>
    <row r="94">
      <c r="A94" s="176"/>
      <c r="B94" s="177"/>
      <c r="C94" s="178"/>
      <c r="D94" s="178"/>
      <c r="E94" s="185"/>
      <c r="F94" s="185"/>
      <c r="G94" s="185"/>
    </row>
    <row r="95">
      <c r="A95" s="173" t="s">
        <v>205</v>
      </c>
      <c r="B95" s="174"/>
      <c r="C95" s="180"/>
      <c r="D95" s="181" t="s">
        <v>500</v>
      </c>
      <c r="E95" s="182" t="s">
        <v>501</v>
      </c>
      <c r="F95" s="182" t="s">
        <v>502</v>
      </c>
      <c r="G95" s="183" t="s">
        <v>503</v>
      </c>
    </row>
    <row r="96">
      <c r="A96" s="173"/>
      <c r="B96" s="174"/>
      <c r="C96" s="180"/>
      <c r="D96" s="180"/>
      <c r="E96" s="182"/>
      <c r="F96" s="182" t="s">
        <v>504</v>
      </c>
      <c r="G96" s="183" t="s">
        <v>505</v>
      </c>
    </row>
    <row r="97">
      <c r="A97" s="173"/>
      <c r="B97" s="174"/>
      <c r="C97" s="180"/>
      <c r="D97" s="180"/>
      <c r="E97" s="182"/>
      <c r="F97" s="182" t="s">
        <v>506</v>
      </c>
      <c r="G97" s="182"/>
    </row>
    <row r="98">
      <c r="A98" s="173"/>
      <c r="B98" s="174"/>
      <c r="C98" s="180"/>
      <c r="D98" s="180"/>
      <c r="E98" s="183"/>
      <c r="F98" s="183" t="s">
        <v>507</v>
      </c>
      <c r="G98" s="6"/>
    </row>
    <row r="99">
      <c r="A99" s="173"/>
      <c r="B99" s="174"/>
      <c r="C99" s="180"/>
      <c r="D99" s="180"/>
      <c r="E99" s="6"/>
      <c r="F99" s="6"/>
      <c r="G99" s="6"/>
    </row>
    <row r="100">
      <c r="A100" s="176"/>
      <c r="B100" s="177"/>
      <c r="C100" s="178"/>
      <c r="D100" s="178"/>
      <c r="E100" s="185"/>
      <c r="F100" s="185"/>
      <c r="G100" s="185"/>
    </row>
    <row r="101">
      <c r="A101" s="173" t="s">
        <v>206</v>
      </c>
      <c r="B101" s="174"/>
      <c r="C101" s="180" t="s">
        <v>207</v>
      </c>
      <c r="D101" s="181" t="s">
        <v>508</v>
      </c>
      <c r="E101" s="182" t="s">
        <v>509</v>
      </c>
      <c r="F101" s="182" t="s">
        <v>510</v>
      </c>
      <c r="G101" s="183" t="s">
        <v>511</v>
      </c>
    </row>
    <row r="102">
      <c r="A102" s="173"/>
      <c r="B102" s="174"/>
      <c r="C102" s="180"/>
      <c r="D102" s="180"/>
      <c r="E102" s="182"/>
      <c r="F102" s="182"/>
      <c r="G102" s="183" t="s">
        <v>512</v>
      </c>
    </row>
    <row r="103">
      <c r="A103" s="173"/>
      <c r="B103" s="174"/>
      <c r="C103" s="180"/>
      <c r="D103" s="180"/>
      <c r="E103" s="182"/>
      <c r="F103" s="182"/>
      <c r="G103" s="183" t="s">
        <v>513</v>
      </c>
    </row>
    <row r="104">
      <c r="A104" s="173"/>
      <c r="B104" s="174"/>
      <c r="C104" s="180"/>
      <c r="D104" s="180"/>
      <c r="E104" s="182"/>
      <c r="F104" s="182"/>
      <c r="G104" s="183" t="s">
        <v>514</v>
      </c>
    </row>
    <row r="105">
      <c r="A105" s="173"/>
      <c r="B105" s="174"/>
      <c r="C105" s="180"/>
      <c r="D105" s="180"/>
      <c r="E105" s="182"/>
      <c r="F105" s="182"/>
      <c r="G105" s="6"/>
    </row>
    <row r="106">
      <c r="A106" s="173"/>
      <c r="B106" s="174"/>
      <c r="C106" s="180"/>
      <c r="D106" s="180"/>
      <c r="E106" s="6"/>
      <c r="F106" s="6"/>
      <c r="G106" s="6"/>
    </row>
    <row r="107">
      <c r="A107" s="173"/>
      <c r="B107" s="174"/>
      <c r="C107" s="180"/>
      <c r="D107" s="180"/>
      <c r="E107" s="6"/>
      <c r="F107" s="6"/>
      <c r="G107" s="6"/>
    </row>
    <row r="108">
      <c r="A108" s="173"/>
      <c r="B108" s="174"/>
      <c r="C108" s="180"/>
      <c r="D108" s="180"/>
      <c r="E108" s="6"/>
      <c r="F108" s="6"/>
      <c r="G108" s="6"/>
    </row>
    <row r="109">
      <c r="A109" s="176"/>
      <c r="B109" s="177"/>
      <c r="C109" s="178"/>
      <c r="D109" s="178"/>
      <c r="E109" s="185"/>
      <c r="F109" s="185"/>
      <c r="G109" s="185"/>
    </row>
    <row r="110">
      <c r="A110" s="173" t="s">
        <v>208</v>
      </c>
      <c r="B110" s="174"/>
      <c r="C110" s="180" t="s">
        <v>209</v>
      </c>
      <c r="D110" s="181" t="s">
        <v>515</v>
      </c>
      <c r="E110" s="182" t="s">
        <v>509</v>
      </c>
      <c r="F110" s="6"/>
      <c r="G110" s="183" t="s">
        <v>516</v>
      </c>
    </row>
    <row r="111">
      <c r="A111" s="173"/>
      <c r="B111" s="174"/>
      <c r="C111" s="180"/>
      <c r="D111" s="180"/>
      <c r="E111" s="6"/>
      <c r="F111" s="6"/>
      <c r="G111" s="183" t="s">
        <v>517</v>
      </c>
    </row>
    <row r="112">
      <c r="A112" s="173"/>
      <c r="B112" s="174"/>
      <c r="C112" s="180"/>
      <c r="D112" s="180"/>
      <c r="E112" s="6"/>
      <c r="F112" s="6"/>
      <c r="G112" s="183" t="s">
        <v>518</v>
      </c>
    </row>
    <row r="113">
      <c r="A113" s="173"/>
      <c r="B113" s="174"/>
      <c r="C113" s="180"/>
      <c r="D113" s="180"/>
      <c r="E113" s="6"/>
      <c r="F113" s="6"/>
      <c r="G113" s="183" t="s">
        <v>519</v>
      </c>
    </row>
    <row r="114">
      <c r="A114" s="173"/>
      <c r="B114" s="174"/>
      <c r="C114" s="180"/>
      <c r="D114" s="180"/>
      <c r="E114" s="6"/>
      <c r="F114" s="6"/>
      <c r="G114" s="6"/>
    </row>
    <row r="115">
      <c r="A115" s="176"/>
      <c r="B115" s="177"/>
      <c r="C115" s="178"/>
      <c r="D115" s="178"/>
      <c r="E115" s="185"/>
      <c r="F115" s="185"/>
      <c r="G115" s="185"/>
    </row>
    <row r="116">
      <c r="A116" s="173" t="s">
        <v>210</v>
      </c>
      <c r="B116" s="174"/>
      <c r="C116" s="180" t="s">
        <v>211</v>
      </c>
      <c r="D116" s="181" t="s">
        <v>520</v>
      </c>
      <c r="E116" s="6"/>
      <c r="F116" s="6"/>
      <c r="G116" s="183" t="s">
        <v>521</v>
      </c>
    </row>
    <row r="117">
      <c r="A117" s="173"/>
      <c r="B117" s="174"/>
      <c r="C117" s="174"/>
      <c r="D117" s="188"/>
      <c r="E117" s="6"/>
      <c r="F117" s="6"/>
      <c r="G117" s="6"/>
    </row>
    <row r="118">
      <c r="A118" s="176"/>
      <c r="B118" s="177"/>
      <c r="C118" s="177"/>
      <c r="D118" s="187"/>
      <c r="E118" s="185"/>
      <c r="F118" s="185"/>
      <c r="G118" s="185"/>
    </row>
    <row r="119">
      <c r="A119" s="173" t="s">
        <v>212</v>
      </c>
      <c r="B119" s="174"/>
      <c r="C119" s="174"/>
      <c r="D119" s="188"/>
      <c r="E119" s="182" t="s">
        <v>522</v>
      </c>
      <c r="F119" s="6"/>
      <c r="G119" s="183" t="s">
        <v>523</v>
      </c>
    </row>
    <row r="120">
      <c r="A120" s="173"/>
      <c r="B120" s="174"/>
      <c r="C120" s="174"/>
      <c r="D120" s="188"/>
      <c r="E120" s="6"/>
      <c r="F120" s="6"/>
      <c r="G120" s="183" t="s">
        <v>524</v>
      </c>
    </row>
    <row r="121">
      <c r="A121" s="173"/>
      <c r="B121" s="174"/>
      <c r="C121" s="174"/>
      <c r="D121" s="188"/>
      <c r="E121" s="6"/>
      <c r="F121" s="6"/>
      <c r="G121" s="183" t="s">
        <v>525</v>
      </c>
    </row>
    <row r="122">
      <c r="A122" s="173"/>
      <c r="B122" s="174"/>
      <c r="C122" s="174"/>
      <c r="D122" s="188"/>
      <c r="E122" s="6"/>
      <c r="F122" s="6"/>
      <c r="G122" s="183" t="s">
        <v>526</v>
      </c>
    </row>
    <row r="123">
      <c r="A123" s="176"/>
      <c r="B123" s="177"/>
      <c r="C123" s="177"/>
      <c r="D123" s="187"/>
      <c r="E123" s="185"/>
      <c r="F123" s="185"/>
      <c r="G123" s="185"/>
    </row>
    <row r="124">
      <c r="A124" s="173" t="s">
        <v>213</v>
      </c>
      <c r="B124" s="174"/>
      <c r="C124" s="174"/>
      <c r="D124" s="188"/>
      <c r="E124" s="6"/>
      <c r="F124" s="6"/>
      <c r="G124" s="183" t="s">
        <v>527</v>
      </c>
    </row>
    <row r="125">
      <c r="A125" s="173"/>
      <c r="B125" s="174"/>
      <c r="C125" s="174"/>
      <c r="D125" s="188"/>
      <c r="E125" s="6"/>
      <c r="F125" s="6"/>
      <c r="G125" s="6"/>
    </row>
    <row r="126">
      <c r="A126" s="176"/>
      <c r="B126" s="177"/>
      <c r="C126" s="177"/>
      <c r="D126" s="187"/>
      <c r="E126" s="185"/>
      <c r="F126" s="185"/>
      <c r="G126" s="185"/>
    </row>
    <row r="127">
      <c r="A127" s="173" t="s">
        <v>214</v>
      </c>
      <c r="B127" s="174"/>
      <c r="C127" s="195"/>
      <c r="D127" s="175" t="s">
        <v>528</v>
      </c>
      <c r="E127" s="182" t="s">
        <v>529</v>
      </c>
      <c r="F127" s="182" t="s">
        <v>530</v>
      </c>
      <c r="G127" s="6"/>
    </row>
    <row r="128">
      <c r="A128" s="173"/>
      <c r="B128" s="174"/>
      <c r="C128" s="195"/>
      <c r="D128" s="175"/>
      <c r="E128" s="182"/>
      <c r="F128" s="182" t="s">
        <v>531</v>
      </c>
      <c r="G128" s="6"/>
    </row>
    <row r="129">
      <c r="A129" s="173"/>
      <c r="B129" s="174"/>
      <c r="C129" s="174"/>
      <c r="D129" s="188"/>
      <c r="E129" s="182"/>
      <c r="F129" s="182" t="s">
        <v>532</v>
      </c>
      <c r="G129" s="6"/>
    </row>
    <row r="130">
      <c r="A130" s="173"/>
      <c r="B130" s="174"/>
      <c r="C130" s="174"/>
      <c r="D130" s="188"/>
      <c r="E130" s="182"/>
      <c r="F130" s="182" t="s">
        <v>533</v>
      </c>
      <c r="G130" s="6"/>
    </row>
    <row r="131">
      <c r="A131" s="173"/>
      <c r="B131" s="174"/>
      <c r="C131" s="174"/>
      <c r="D131" s="188"/>
      <c r="E131" s="182"/>
      <c r="F131" s="182" t="s">
        <v>534</v>
      </c>
      <c r="G131" s="6"/>
    </row>
    <row r="132">
      <c r="A132" s="173"/>
      <c r="B132" s="174"/>
      <c r="C132" s="174"/>
      <c r="D132" s="188"/>
      <c r="E132" s="182"/>
      <c r="F132" s="182"/>
      <c r="G132" s="6"/>
    </row>
    <row r="133">
      <c r="A133" s="176"/>
      <c r="B133" s="177"/>
      <c r="C133" s="177"/>
      <c r="D133" s="187"/>
      <c r="E133" s="179"/>
      <c r="F133" s="179"/>
      <c r="G133" s="185"/>
    </row>
    <row r="134">
      <c r="A134" s="173" t="s">
        <v>215</v>
      </c>
      <c r="B134" s="174"/>
      <c r="C134" s="174"/>
      <c r="D134" s="175" t="s">
        <v>528</v>
      </c>
      <c r="E134" s="182"/>
      <c r="F134" s="182" t="s">
        <v>535</v>
      </c>
      <c r="G134" s="6"/>
    </row>
    <row r="135">
      <c r="A135" s="173"/>
      <c r="B135" s="174"/>
      <c r="C135" s="174"/>
      <c r="D135" s="188"/>
      <c r="E135" s="6"/>
      <c r="F135" s="6"/>
      <c r="G135" s="6"/>
    </row>
    <row r="136">
      <c r="A136" s="204"/>
      <c r="B136" s="177"/>
      <c r="C136" s="177"/>
      <c r="D136" s="187"/>
      <c r="E136" s="185"/>
      <c r="F136" s="185"/>
      <c r="G136" s="185"/>
    </row>
    <row r="137">
      <c r="A137" s="173" t="s">
        <v>536</v>
      </c>
      <c r="B137" s="174"/>
      <c r="C137" s="180" t="s">
        <v>537</v>
      </c>
      <c r="D137" s="181" t="s">
        <v>538</v>
      </c>
      <c r="E137" s="182" t="s">
        <v>539</v>
      </c>
      <c r="F137" s="182" t="s">
        <v>540</v>
      </c>
      <c r="G137" s="6"/>
    </row>
    <row r="138">
      <c r="A138" s="176"/>
      <c r="B138" s="177"/>
      <c r="C138" s="177"/>
      <c r="D138" s="187"/>
      <c r="E138" s="185"/>
      <c r="F138" s="185"/>
      <c r="G138" s="185"/>
    </row>
    <row r="139">
      <c r="A139" s="173" t="s">
        <v>218</v>
      </c>
      <c r="B139" s="174"/>
      <c r="C139" s="174"/>
      <c r="D139" s="188"/>
      <c r="E139" s="6"/>
      <c r="F139" s="6"/>
      <c r="G139" s="183" t="s">
        <v>541</v>
      </c>
    </row>
    <row r="140">
      <c r="A140" s="173"/>
      <c r="B140" s="174"/>
      <c r="C140" s="180"/>
      <c r="D140" s="180"/>
      <c r="E140" s="6"/>
      <c r="F140" s="6"/>
      <c r="G140" s="6"/>
    </row>
    <row r="141">
      <c r="A141" s="176"/>
      <c r="B141" s="177"/>
      <c r="C141" s="178"/>
      <c r="D141" s="178"/>
      <c r="E141" s="185"/>
      <c r="F141" s="185"/>
      <c r="G141" s="185"/>
    </row>
    <row r="142">
      <c r="A142" s="173" t="s">
        <v>220</v>
      </c>
      <c r="B142" s="174"/>
      <c r="C142" s="180" t="s">
        <v>284</v>
      </c>
      <c r="D142" s="180"/>
      <c r="E142" s="6"/>
      <c r="F142" s="6"/>
      <c r="G142" s="183" t="s">
        <v>542</v>
      </c>
    </row>
    <row r="143">
      <c r="A143" s="176"/>
      <c r="B143" s="177"/>
      <c r="C143" s="177"/>
      <c r="D143" s="187"/>
      <c r="E143" s="185"/>
      <c r="F143" s="185"/>
      <c r="G143" s="185"/>
    </row>
    <row r="144">
      <c r="A144" s="173" t="s">
        <v>222</v>
      </c>
      <c r="B144" s="174"/>
      <c r="C144" s="174"/>
      <c r="D144" s="188"/>
      <c r="E144" s="182" t="s">
        <v>452</v>
      </c>
      <c r="F144" s="6"/>
      <c r="G144" s="183" t="s">
        <v>543</v>
      </c>
    </row>
    <row r="145">
      <c r="A145" s="176"/>
      <c r="B145" s="177"/>
      <c r="C145" s="178"/>
      <c r="D145" s="178"/>
      <c r="E145" s="185"/>
      <c r="F145" s="185"/>
      <c r="G145" s="185"/>
    </row>
    <row r="146">
      <c r="A146" s="173" t="s">
        <v>223</v>
      </c>
      <c r="B146" s="174"/>
      <c r="C146" s="180" t="s">
        <v>283</v>
      </c>
      <c r="D146" s="180"/>
      <c r="E146" s="182" t="s">
        <v>539</v>
      </c>
      <c r="F146" s="182" t="s">
        <v>540</v>
      </c>
      <c r="G146" s="6"/>
    </row>
    <row r="147">
      <c r="A147" s="176"/>
      <c r="B147" s="177"/>
      <c r="C147" s="178"/>
      <c r="D147" s="178"/>
      <c r="E147" s="185"/>
      <c r="F147" s="185"/>
      <c r="G147" s="185"/>
    </row>
    <row r="148">
      <c r="A148" s="173" t="s">
        <v>73</v>
      </c>
      <c r="B148" s="174"/>
      <c r="C148" s="180" t="s">
        <v>74</v>
      </c>
      <c r="D148" s="180"/>
      <c r="E148" s="182" t="s">
        <v>452</v>
      </c>
      <c r="F148" s="6"/>
      <c r="G148" s="183" t="s">
        <v>544</v>
      </c>
    </row>
    <row r="149">
      <c r="A149" s="173"/>
      <c r="B149" s="174"/>
      <c r="C149" s="180"/>
      <c r="D149" s="180"/>
      <c r="E149" s="6"/>
      <c r="F149" s="6"/>
      <c r="G149" s="183" t="s">
        <v>545</v>
      </c>
    </row>
    <row r="150">
      <c r="A150" s="173"/>
      <c r="B150" s="174"/>
      <c r="C150" s="180"/>
      <c r="D150" s="180"/>
      <c r="E150" s="6"/>
      <c r="F150" s="6"/>
      <c r="G150" s="183" t="s">
        <v>546</v>
      </c>
    </row>
    <row r="151">
      <c r="A151" s="176"/>
      <c r="B151" s="177"/>
      <c r="C151" s="178"/>
      <c r="D151" s="178"/>
      <c r="E151" s="185"/>
      <c r="F151" s="185"/>
      <c r="G151" s="185"/>
    </row>
    <row r="152">
      <c r="A152" s="173" t="s">
        <v>75</v>
      </c>
      <c r="B152" s="174"/>
      <c r="C152" s="180" t="s">
        <v>76</v>
      </c>
      <c r="D152" s="180"/>
      <c r="E152" s="182" t="s">
        <v>452</v>
      </c>
      <c r="F152" s="6"/>
      <c r="G152" s="6"/>
    </row>
    <row r="153">
      <c r="A153" s="173"/>
      <c r="B153" s="174"/>
      <c r="C153" s="180"/>
      <c r="D153" s="180"/>
      <c r="E153" s="6"/>
      <c r="F153" s="6"/>
      <c r="G153" s="6"/>
    </row>
    <row r="154">
      <c r="A154" s="173"/>
      <c r="B154" s="174"/>
      <c r="C154" s="180"/>
      <c r="D154" s="180"/>
      <c r="E154" s="6"/>
      <c r="F154" s="6"/>
      <c r="G154" s="6"/>
    </row>
    <row r="155">
      <c r="A155" s="173"/>
      <c r="B155" s="174"/>
      <c r="C155" s="180"/>
      <c r="D155" s="180"/>
      <c r="E155" s="6"/>
      <c r="F155" s="6"/>
      <c r="G155" s="6"/>
    </row>
    <row r="156">
      <c r="A156" s="173" t="s">
        <v>82</v>
      </c>
      <c r="B156" s="174"/>
      <c r="C156" s="180" t="s">
        <v>83</v>
      </c>
      <c r="D156" s="180"/>
      <c r="E156" s="6"/>
      <c r="F156" s="6"/>
      <c r="G156" s="6"/>
    </row>
    <row r="157">
      <c r="A157" s="173" t="s">
        <v>547</v>
      </c>
      <c r="B157" s="174"/>
      <c r="C157" s="180" t="s">
        <v>86</v>
      </c>
      <c r="D157" s="180"/>
      <c r="E157" s="6"/>
      <c r="F157" s="6"/>
      <c r="G157" s="6"/>
    </row>
    <row r="158">
      <c r="A158" s="173" t="s">
        <v>228</v>
      </c>
      <c r="B158" s="174"/>
      <c r="C158" s="180" t="s">
        <v>548</v>
      </c>
      <c r="D158" s="180"/>
      <c r="E158" s="6"/>
      <c r="F158" s="6"/>
      <c r="G158" s="6"/>
    </row>
    <row r="159">
      <c r="A159" s="173" t="s">
        <v>228</v>
      </c>
      <c r="B159" s="174"/>
      <c r="C159" s="180" t="s">
        <v>93</v>
      </c>
      <c r="D159" s="180"/>
      <c r="E159" s="6"/>
      <c r="F159" s="6"/>
      <c r="G159" s="6"/>
    </row>
    <row r="160">
      <c r="A160" s="174"/>
      <c r="B160" s="196" t="s">
        <v>230</v>
      </c>
      <c r="C160" s="174"/>
      <c r="D160" s="188"/>
      <c r="E160" s="6"/>
      <c r="F160" s="6"/>
      <c r="G160" s="6"/>
    </row>
    <row r="161">
      <c r="A161" s="174"/>
      <c r="B161" s="196" t="s">
        <v>231</v>
      </c>
      <c r="C161" s="174"/>
      <c r="D161" s="188"/>
      <c r="E161" s="6"/>
      <c r="F161" s="6"/>
      <c r="G161" s="6"/>
    </row>
    <row r="162">
      <c r="A162" s="174"/>
      <c r="B162" s="196" t="s">
        <v>232</v>
      </c>
      <c r="C162" s="174"/>
      <c r="D162" s="188"/>
      <c r="E162" s="6"/>
      <c r="F162" s="6"/>
      <c r="G162" s="6"/>
    </row>
    <row r="163">
      <c r="A163" s="173" t="s">
        <v>97</v>
      </c>
      <c r="B163" s="174"/>
      <c r="C163" s="180" t="s">
        <v>98</v>
      </c>
      <c r="D163" s="180"/>
      <c r="E163" s="6"/>
      <c r="F163" s="6"/>
      <c r="G163" s="6"/>
    </row>
    <row r="164">
      <c r="A164" s="174"/>
      <c r="B164" s="196" t="s">
        <v>99</v>
      </c>
      <c r="C164" s="174"/>
      <c r="D164" s="188"/>
      <c r="E164" s="6"/>
      <c r="F164" s="6"/>
      <c r="G164" s="6"/>
    </row>
    <row r="165">
      <c r="A165" s="174"/>
      <c r="B165" s="196" t="s">
        <v>100</v>
      </c>
      <c r="C165" s="174"/>
      <c r="D165" s="188"/>
      <c r="E165" s="6"/>
      <c r="F165" s="6"/>
      <c r="G165" s="6"/>
    </row>
    <row r="166">
      <c r="A166" s="174"/>
      <c r="B166" s="196" t="s">
        <v>102</v>
      </c>
      <c r="C166" s="174"/>
      <c r="D166" s="188"/>
      <c r="E166" s="6"/>
      <c r="F166" s="6"/>
      <c r="G166" s="6"/>
    </row>
    <row r="167">
      <c r="A167" s="174"/>
      <c r="B167" s="174"/>
      <c r="C167" s="174"/>
      <c r="D167" s="188"/>
      <c r="E167" s="6"/>
      <c r="F167" s="6"/>
      <c r="G167" s="6"/>
    </row>
    <row r="168">
      <c r="A168" s="205" t="s">
        <v>103</v>
      </c>
      <c r="B168" s="205"/>
      <c r="C168" s="205"/>
      <c r="D168" s="206"/>
      <c r="E168" s="6"/>
      <c r="F168" s="6"/>
      <c r="G168" s="6"/>
    </row>
    <row r="169">
      <c r="A169" s="173" t="s">
        <v>104</v>
      </c>
      <c r="B169" s="174"/>
      <c r="C169" s="180" t="s">
        <v>105</v>
      </c>
      <c r="D169" s="180"/>
      <c r="E169" s="6"/>
      <c r="F169" s="6"/>
      <c r="G169" s="6"/>
    </row>
    <row r="170">
      <c r="A170" s="173" t="s">
        <v>106</v>
      </c>
      <c r="B170" s="174"/>
      <c r="C170" s="174"/>
      <c r="D170" s="188"/>
      <c r="E170" s="6"/>
      <c r="F170" s="6"/>
      <c r="G170" s="6"/>
    </row>
    <row r="171">
      <c r="A171" s="173" t="s">
        <v>107</v>
      </c>
      <c r="B171" s="174"/>
      <c r="C171" s="180" t="s">
        <v>293</v>
      </c>
      <c r="D171" s="180"/>
      <c r="E171" s="6"/>
      <c r="F171" s="6"/>
      <c r="G171" s="6"/>
    </row>
    <row r="172">
      <c r="A172" s="88" t="s">
        <v>549</v>
      </c>
      <c r="C172" s="207" t="s">
        <v>550</v>
      </c>
      <c r="D172" s="191"/>
      <c r="E172" s="6"/>
      <c r="F172" s="6"/>
      <c r="G172" s="6"/>
    </row>
    <row r="173">
      <c r="D173" s="191"/>
      <c r="E173" s="6"/>
      <c r="F173" s="6"/>
      <c r="G173" s="6"/>
    </row>
    <row r="174">
      <c r="D174" s="191"/>
      <c r="E174" s="6"/>
      <c r="F174" s="6"/>
      <c r="G174" s="6"/>
    </row>
  </sheetData>
  <hyperlinks>
    <hyperlink r:id="rId1" ref="G14"/>
    <hyperlink r:id="rId2" ref="G77"/>
  </hyperlinks>
  <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8.38"/>
    <col customWidth="1" min="3" max="3" width="54.5"/>
    <col customWidth="1" min="4" max="4" width="19.25"/>
  </cols>
  <sheetData>
    <row r="1">
      <c r="A1" s="208" t="s">
        <v>551</v>
      </c>
      <c r="D1" s="208"/>
    </row>
    <row r="2">
      <c r="A2" s="209" t="s">
        <v>552</v>
      </c>
      <c r="B2" s="210" t="s">
        <v>553</v>
      </c>
      <c r="C2" s="196" t="s">
        <v>554</v>
      </c>
      <c r="D2" s="196"/>
    </row>
    <row r="3">
      <c r="B3" s="210" t="s">
        <v>555</v>
      </c>
      <c r="C3" s="196" t="s">
        <v>556</v>
      </c>
      <c r="D3" s="196"/>
    </row>
    <row r="4">
      <c r="B4" s="210" t="s">
        <v>557</v>
      </c>
      <c r="C4" s="199" t="s">
        <v>558</v>
      </c>
      <c r="D4" s="199"/>
    </row>
    <row r="5">
      <c r="A5" s="211" t="s">
        <v>559</v>
      </c>
      <c r="B5" s="212" t="s">
        <v>560</v>
      </c>
      <c r="C5" s="199" t="s">
        <v>561</v>
      </c>
      <c r="D5" s="199"/>
    </row>
    <row r="6">
      <c r="B6" s="212" t="s">
        <v>562</v>
      </c>
      <c r="C6" s="199" t="s">
        <v>563</v>
      </c>
      <c r="D6" s="199" t="s">
        <v>564</v>
      </c>
    </row>
    <row r="7">
      <c r="B7" s="212" t="s">
        <v>565</v>
      </c>
      <c r="C7" s="199" t="s">
        <v>566</v>
      </c>
      <c r="D7" s="199" t="s">
        <v>567</v>
      </c>
    </row>
    <row r="8">
      <c r="A8" s="213" t="s">
        <v>568</v>
      </c>
      <c r="B8" s="214" t="s">
        <v>569</v>
      </c>
      <c r="C8" s="199" t="s">
        <v>570</v>
      </c>
      <c r="D8" s="199"/>
    </row>
    <row r="9">
      <c r="B9" s="214" t="s">
        <v>571</v>
      </c>
      <c r="C9" s="199" t="s">
        <v>572</v>
      </c>
      <c r="D9" s="199"/>
    </row>
    <row r="10">
      <c r="B10" s="214" t="s">
        <v>573</v>
      </c>
      <c r="C10" s="199" t="s">
        <v>574</v>
      </c>
      <c r="D10" s="199"/>
    </row>
  </sheetData>
  <mergeCells count="4">
    <mergeCell ref="A1:C1"/>
    <mergeCell ref="A2:A4"/>
    <mergeCell ref="A5:A7"/>
    <mergeCell ref="A8:A10"/>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outlineLevelRow="1"/>
  <cols>
    <col customWidth="1" min="2" max="2" width="14.25"/>
    <col customWidth="1" min="3" max="3" width="46.0"/>
    <col customWidth="1" min="4" max="4" width="22.25"/>
    <col customWidth="1" min="8" max="9" width="22.75"/>
    <col customWidth="1" min="10" max="10" width="8.63"/>
    <col customWidth="1" min="11" max="17" width="14.63"/>
    <col customWidth="1" min="18" max="18" width="13.88"/>
    <col customWidth="1" min="19" max="19" width="11.88"/>
  </cols>
  <sheetData>
    <row r="1">
      <c r="A1" s="113" t="s">
        <v>575</v>
      </c>
      <c r="B1" s="114" t="s">
        <v>315</v>
      </c>
      <c r="C1" s="114" t="s">
        <v>576</v>
      </c>
      <c r="D1" s="114" t="s">
        <v>320</v>
      </c>
      <c r="E1" s="114" t="s">
        <v>577</v>
      </c>
      <c r="F1" s="114" t="s">
        <v>578</v>
      </c>
      <c r="G1" s="114" t="s">
        <v>579</v>
      </c>
      <c r="H1" s="114" t="s">
        <v>317</v>
      </c>
      <c r="I1" s="114" t="s">
        <v>319</v>
      </c>
      <c r="J1" s="114" t="s">
        <v>318</v>
      </c>
      <c r="K1" s="114" t="s">
        <v>399</v>
      </c>
      <c r="L1" s="215" t="s">
        <v>580</v>
      </c>
      <c r="M1" s="216" t="s">
        <v>581</v>
      </c>
      <c r="N1" s="216" t="s">
        <v>582</v>
      </c>
      <c r="O1" s="216" t="s">
        <v>583</v>
      </c>
      <c r="P1" s="216" t="s">
        <v>584</v>
      </c>
      <c r="Q1" s="114"/>
      <c r="R1" s="114"/>
      <c r="S1" s="114"/>
    </row>
    <row r="2" ht="31.5" customHeight="1">
      <c r="A2" s="115" t="s">
        <v>585</v>
      </c>
      <c r="B2" s="217" t="s">
        <v>586</v>
      </c>
      <c r="C2" s="218" t="s">
        <v>587</v>
      </c>
      <c r="D2" s="219" t="s">
        <v>323</v>
      </c>
      <c r="E2" s="220" t="s">
        <v>588</v>
      </c>
      <c r="F2" s="221" t="s">
        <v>366</v>
      </c>
      <c r="G2" s="220" t="s">
        <v>281</v>
      </c>
      <c r="H2" s="222" t="s">
        <v>589</v>
      </c>
      <c r="I2" s="223"/>
      <c r="J2" s="223" t="s">
        <v>322</v>
      </c>
      <c r="K2" s="224" t="s">
        <v>590</v>
      </c>
      <c r="L2" s="225" t="str">
        <f>IFERROR(__xludf.DUMMYFUNCTION("IF(COUNTBLANK(B2)&gt;0, """", IFERROR(JOIN("", ""&amp;CHAR(10), FILTER(IMPORTRANGE(""https://docs.google.com/spreadsheets/d/1Fgd7GP5RUQxajuAkULlL-NwY6xKNVDzD6d9lnxn5Xks/"", ""IGNORE: Issues/Risks!$E$5:$E$200""), 
ISNUMBER(SEARCH(B2, IMPORTRANGE(""https://docs.go"&amp;"ogle.com/spreadsheets/d/1Fgd7GP5RUQxajuAkULlL-NwY6xKNVDzD6d9lnxn5Xks/"", ""IGNORE: Issues/Risks!$J$5:$J$200""))))), ""No Match"")
)"),"C005, 
C012")</f>
        <v>C005, 
C012</v>
      </c>
      <c r="M2" s="226">
        <f>IFERROR(__xludf.DUMMYFUNCTION("MIN(
  ARRAYFORMULA(
    IFERROR(
      VLOOKUP(
        TRANSPOSE(ARRAYFORMULA(SPLIT(K2, CHAR(10)))),
        {Capabilities!$E:$E, Capabilities!P:P},
        2,
        FALSE
      ) * 1,
      9999999
    )
  )
)"),45931.0)</f>
        <v>45931</v>
      </c>
      <c r="N2" s="226">
        <f>IFERROR(__xludf.DUMMYFUNCTION("MAX(
  ARRAYFORMULA(
    IFERROR(
      VLOOKUP(
        TRANSPOSE(ARRAYFORMULA(SPLIT(K2, CHAR(10)))),
        {Capabilities!$E:$E, Capabilities!Q:Q},
        2,
        FALSE
      ) * 1,
      0
    )
  )
)"),46204.0)</f>
        <v>46204</v>
      </c>
      <c r="O2" s="226">
        <f>IFERROR(__xludf.DUMMYFUNCTION("MAX(
  ARRAYFORMULA(
    IFERROR(
      VLOOKUP(
        TRANSPOSE(ARRAYFORMULA(SPLIT(K2, CHAR(10)))),
        {Capabilities!$E:$E, Capabilities!R:R},
        2,
        FALSE
      ) * 1,
      0
    )
  )
)"),46296.0)</f>
        <v>46296</v>
      </c>
      <c r="P2" s="226">
        <f>IFERROR(__xludf.DUMMYFUNCTION("MAX(
  ARRAYFORMULA(
    IFERROR(
      VLOOKUP(
        TRANSPOSE(ARRAYFORMULA(SPLIT(K2, CHAR(10)))),
        {Capabilities!$E:$E, Capabilities!S:S},
        2,
        FALSE
      ) * 1,
      0
    )
  )
)"),46388.0)</f>
        <v>46388</v>
      </c>
      <c r="Q2" s="224"/>
      <c r="R2" s="227"/>
      <c r="S2" s="227"/>
    </row>
    <row r="3" ht="31.5" customHeight="1" outlineLevel="1">
      <c r="A3" s="115"/>
      <c r="B3" s="228" t="s">
        <v>591</v>
      </c>
      <c r="C3" s="229" t="s">
        <v>592</v>
      </c>
      <c r="D3" s="230" t="s">
        <v>323</v>
      </c>
      <c r="E3" s="231" t="s">
        <v>588</v>
      </c>
      <c r="F3" s="232" t="s">
        <v>366</v>
      </c>
      <c r="G3" s="231" t="s">
        <v>281</v>
      </c>
      <c r="H3" s="233" t="s">
        <v>593</v>
      </c>
      <c r="I3" s="234"/>
      <c r="J3" s="235" t="s">
        <v>322</v>
      </c>
      <c r="K3" s="224" t="s">
        <v>594</v>
      </c>
      <c r="L3" s="236" t="str">
        <f>IFERROR(__xludf.DUMMYFUNCTION("IF(COUNTBLANK(B3)&gt;0, """", IFERROR(JOIN("", ""&amp;CHAR(10), FILTER(IMPORTRANGE(""https://docs.google.com/spreadsheets/d/1Fgd7GP5RUQxajuAkULlL-NwY6xKNVDzD6d9lnxn5Xks/"", ""IGNORE: Issues/Risks!$E$5:$E$200""), 
ISNUMBER(SEARCH(B3, IMPORTRANGE(""https://docs.go"&amp;"ogle.com/spreadsheets/d/1Fgd7GP5RUQxajuAkULlL-NwY6xKNVDzD6d9lnxn5Xks/"", ""IGNORE: Issues/Risks!$J$5:$J$200""))))), ""No Match"")
)"),"No Match")</f>
        <v>No Match</v>
      </c>
      <c r="M3" s="226">
        <f>IFERROR(__xludf.DUMMYFUNCTION("MIN(
  ARRAYFORMULA(
    IFERROR(
      VLOOKUP(
        TRANSPOSE(ARRAYFORMULA(SPLIT(K3, CHAR(10)))),
        {Capabilities!$E:$E, Capabilities!P:P},
        2,
        FALSE
      ) * 1,
      9999999
    )
  )
)"),45931.0)</f>
        <v>45931</v>
      </c>
      <c r="N3" s="226">
        <f>IFERROR(__xludf.DUMMYFUNCTION("MAX(
  ARRAYFORMULA(
    IFERROR(
      VLOOKUP(
        TRANSPOSE(ARRAYFORMULA(SPLIT(K3, CHAR(10)))),
        {Capabilities!$E:$E, Capabilities!Q:Q},
        2,
        FALSE
      ) * 1,
      0
    )
  )
)"),46204.0)</f>
        <v>46204</v>
      </c>
      <c r="O3" s="226">
        <f>IFERROR(__xludf.DUMMYFUNCTION("MAX(
  ARRAYFORMULA(
    IFERROR(
      VLOOKUP(
        TRANSPOSE(ARRAYFORMULA(SPLIT(K3, CHAR(10)))),
        {Capabilities!$E:$E, Capabilities!R:R},
        2,
        FALSE
      ) * 1,
      0
    )
  )
)"),46296.0)</f>
        <v>46296</v>
      </c>
      <c r="P3" s="226">
        <f>IFERROR(__xludf.DUMMYFUNCTION("MAX(
  ARRAYFORMULA(
    IFERROR(
      VLOOKUP(
        TRANSPOSE(ARRAYFORMULA(SPLIT(K3, CHAR(10)))),
        {Capabilities!$E:$E, Capabilities!S:S},
        2,
        FALSE
      ) * 1,
      0
    )
  )
)"),46388.0)</f>
        <v>46388</v>
      </c>
      <c r="Q3" s="224"/>
      <c r="R3" s="227"/>
      <c r="S3" s="227"/>
    </row>
    <row r="4" ht="31.5" customHeight="1" outlineLevel="1">
      <c r="A4" s="115"/>
      <c r="B4" s="228" t="s">
        <v>595</v>
      </c>
      <c r="C4" s="229" t="s">
        <v>596</v>
      </c>
      <c r="D4" s="230" t="s">
        <v>323</v>
      </c>
      <c r="E4" s="231" t="s">
        <v>588</v>
      </c>
      <c r="F4" s="232" t="s">
        <v>366</v>
      </c>
      <c r="G4" s="231" t="s">
        <v>281</v>
      </c>
      <c r="H4" s="233" t="s">
        <v>597</v>
      </c>
      <c r="I4" s="234"/>
      <c r="J4" s="235" t="s">
        <v>322</v>
      </c>
      <c r="K4" s="224" t="s">
        <v>598</v>
      </c>
      <c r="L4" s="225" t="str">
        <f>IFERROR(__xludf.DUMMYFUNCTION("IF(COUNTBLANK(B4)&gt;0, """", IFERROR(JOIN("", ""&amp;CHAR(10), FILTER(IMPORTRANGE(""https://docs.google.com/spreadsheets/d/1Fgd7GP5RUQxajuAkULlL-NwY6xKNVDzD6d9lnxn5Xks/"", ""IGNORE: Issues/Risks!$E$5:$E$200""), 
ISNUMBER(SEARCH(B4, IMPORTRANGE(""https://docs.go"&amp;"ogle.com/spreadsheets/d/1Fgd7GP5RUQxajuAkULlL-NwY6xKNVDzD6d9lnxn5Xks/"", ""IGNORE: Issues/Risks!$J$5:$J$200""))))), ""No Match"")
)"),"No Match")</f>
        <v>No Match</v>
      </c>
      <c r="M4" s="226">
        <f>IFERROR(__xludf.DUMMYFUNCTION("MIN(
  ARRAYFORMULA(
    IFERROR(
      VLOOKUP(
        TRANSPOSE(ARRAYFORMULA(SPLIT(K4, CHAR(10)))),
        {Capabilities!$E:$E, Capabilities!P:P},
        2,
        FALSE
      ) * 1,
      9999999
    )
  )
)"),45931.0)</f>
        <v>45931</v>
      </c>
      <c r="N4" s="226">
        <f>IFERROR(__xludf.DUMMYFUNCTION("MAX(
  ARRAYFORMULA(
    IFERROR(
      VLOOKUP(
        TRANSPOSE(ARRAYFORMULA(SPLIT(K4, CHAR(10)))),
        {Capabilities!$E:$E, Capabilities!Q:Q},
        2,
        FALSE
      ) * 1,
      0
    )
  )
)"),46204.0)</f>
        <v>46204</v>
      </c>
      <c r="O4" s="226">
        <f>IFERROR(__xludf.DUMMYFUNCTION("MAX(
  ARRAYFORMULA(
    IFERROR(
      VLOOKUP(
        TRANSPOSE(ARRAYFORMULA(SPLIT(K4, CHAR(10)))),
        {Capabilities!$E:$E, Capabilities!R:R},
        2,
        FALSE
      ) * 1,
      0
    )
  )
)"),46296.0)</f>
        <v>46296</v>
      </c>
      <c r="P4" s="226">
        <f>IFERROR(__xludf.DUMMYFUNCTION("MAX(
  ARRAYFORMULA(
    IFERROR(
      VLOOKUP(
        TRANSPOSE(ARRAYFORMULA(SPLIT(K4, CHAR(10)))),
        {Capabilities!$E:$E, Capabilities!S:S},
        2,
        FALSE
      ) * 1,
      0
    )
  )
)"),46388.0)</f>
        <v>46388</v>
      </c>
      <c r="Q4" s="224"/>
      <c r="R4" s="227"/>
      <c r="S4" s="227"/>
    </row>
    <row r="5" ht="31.5" customHeight="1" outlineLevel="1">
      <c r="A5" s="115"/>
      <c r="B5" s="228" t="s">
        <v>599</v>
      </c>
      <c r="C5" s="229" t="s">
        <v>600</v>
      </c>
      <c r="D5" s="230" t="s">
        <v>323</v>
      </c>
      <c r="E5" s="231" t="s">
        <v>588</v>
      </c>
      <c r="F5" s="232" t="s">
        <v>366</v>
      </c>
      <c r="G5" s="231" t="s">
        <v>281</v>
      </c>
      <c r="H5" s="233" t="s">
        <v>597</v>
      </c>
      <c r="I5" s="234"/>
      <c r="J5" s="235" t="s">
        <v>322</v>
      </c>
      <c r="K5" s="224" t="s">
        <v>601</v>
      </c>
      <c r="L5" s="236" t="str">
        <f>IFERROR(__xludf.DUMMYFUNCTION("IF(COUNTBLANK(B5)&gt;0, """", IFERROR(JOIN("", ""&amp;CHAR(10), FILTER(IMPORTRANGE(""https://docs.google.com/spreadsheets/d/1Fgd7GP5RUQxajuAkULlL-NwY6xKNVDzD6d9lnxn5Xks/"", ""IGNORE: Issues/Risks!$E$5:$E$200""), 
ISNUMBER(SEARCH(B5, IMPORTRANGE(""https://docs.go"&amp;"ogle.com/spreadsheets/d/1Fgd7GP5RUQxajuAkULlL-NwY6xKNVDzD6d9lnxn5Xks/"", ""IGNORE: Issues/Risks!$J$5:$J$200""))))), ""No Match"")
)"),"C005, 
C012")</f>
        <v>C005, 
C012</v>
      </c>
      <c r="M5" s="226">
        <f>IFERROR(__xludf.DUMMYFUNCTION("MIN(
  ARRAYFORMULA(
    IFERROR(
      VLOOKUP(
        TRANSPOSE(ARRAYFORMULA(SPLIT(K5, CHAR(10)))),
        {Capabilities!$E:$E, Capabilities!P:P},
        2,
        FALSE
      ) * 1,
      9999999
    )
  )
)"),45931.0)</f>
        <v>45931</v>
      </c>
      <c r="N5" s="226">
        <f>IFERROR(__xludf.DUMMYFUNCTION("MAX(
  ARRAYFORMULA(
    IFERROR(
      VLOOKUP(
        TRANSPOSE(ARRAYFORMULA(SPLIT(K5, CHAR(10)))),
        {Capabilities!$E:$E, Capabilities!Q:Q},
        2,
        FALSE
      ) * 1,
      0
    )
  )
)"),46204.0)</f>
        <v>46204</v>
      </c>
      <c r="O5" s="226">
        <f>IFERROR(__xludf.DUMMYFUNCTION("MAX(
  ARRAYFORMULA(
    IFERROR(
      VLOOKUP(
        TRANSPOSE(ARRAYFORMULA(SPLIT(K5, CHAR(10)))),
        {Capabilities!$E:$E, Capabilities!R:R},
        2,
        FALSE
      ) * 1,
      0
    )
  )
)"),46296.0)</f>
        <v>46296</v>
      </c>
      <c r="P5" s="226">
        <f>IFERROR(__xludf.DUMMYFUNCTION("MAX(
  ARRAYFORMULA(
    IFERROR(
      VLOOKUP(
        TRANSPOSE(ARRAYFORMULA(SPLIT(K5, CHAR(10)))),
        {Capabilities!$E:$E, Capabilities!S:S},
        2,
        FALSE
      ) * 1,
      0
    )
  )
)"),46388.0)</f>
        <v>46388</v>
      </c>
      <c r="Q5" s="224"/>
      <c r="R5" s="227"/>
      <c r="S5" s="227"/>
    </row>
    <row r="6" ht="31.5" customHeight="1" outlineLevel="1">
      <c r="A6" s="115"/>
      <c r="B6" s="228" t="s">
        <v>602</v>
      </c>
      <c r="C6" s="229" t="s">
        <v>603</v>
      </c>
      <c r="D6" s="230" t="s">
        <v>323</v>
      </c>
      <c r="E6" s="231" t="s">
        <v>588</v>
      </c>
      <c r="F6" s="232" t="s">
        <v>366</v>
      </c>
      <c r="G6" s="231" t="s">
        <v>281</v>
      </c>
      <c r="H6" s="233" t="s">
        <v>597</v>
      </c>
      <c r="I6" s="234"/>
      <c r="J6" s="235" t="s">
        <v>322</v>
      </c>
      <c r="K6" s="224" t="s">
        <v>604</v>
      </c>
      <c r="L6" s="225" t="str">
        <f>IFERROR(__xludf.DUMMYFUNCTION("IF(COUNTBLANK(B6)&gt;0, """", IFERROR(JOIN("", ""&amp;CHAR(10), FILTER(IMPORTRANGE(""https://docs.google.com/spreadsheets/d/1Fgd7GP5RUQxajuAkULlL-NwY6xKNVDzD6d9lnxn5Xks/"", ""IGNORE: Issues/Risks!$E$5:$E$200""), 
ISNUMBER(SEARCH(B6, IMPORTRANGE(""https://docs.go"&amp;"ogle.com/spreadsheets/d/1Fgd7GP5RUQxajuAkULlL-NwY6xKNVDzD6d9lnxn5Xks/"", ""IGNORE: Issues/Risks!$J$5:$J$200""))))), ""No Match"")
)"),"C005, 
C012")</f>
        <v>C005, 
C012</v>
      </c>
      <c r="M6" s="226">
        <f>IFERROR(__xludf.DUMMYFUNCTION("MIN(
  ARRAYFORMULA(
    IFERROR(
      VLOOKUP(
        TRANSPOSE(ARRAYFORMULA(SPLIT(K6, CHAR(10)))),
        {Capabilities!$E:$E, Capabilities!P:P},
        2,
        FALSE
      ) * 1,
      9999999
    )
  )
)"),45931.0)</f>
        <v>45931</v>
      </c>
      <c r="N6" s="226">
        <f>IFERROR(__xludf.DUMMYFUNCTION("MAX(
  ARRAYFORMULA(
    IFERROR(
      VLOOKUP(
        TRANSPOSE(ARRAYFORMULA(SPLIT(K6, CHAR(10)))),
        {Capabilities!$E:$E, Capabilities!Q:Q},
        2,
        FALSE
      ) * 1,
      0
    )
  )
)"),46204.0)</f>
        <v>46204</v>
      </c>
      <c r="O6" s="226">
        <f>IFERROR(__xludf.DUMMYFUNCTION("MAX(
  ARRAYFORMULA(
    IFERROR(
      VLOOKUP(
        TRANSPOSE(ARRAYFORMULA(SPLIT(K6, CHAR(10)))),
        {Capabilities!$E:$E, Capabilities!R:R},
        2,
        FALSE
      ) * 1,
      0
    )
  )
)"),46296.0)</f>
        <v>46296</v>
      </c>
      <c r="P6" s="226">
        <f>IFERROR(__xludf.DUMMYFUNCTION("MAX(
  ARRAYFORMULA(
    IFERROR(
      VLOOKUP(
        TRANSPOSE(ARRAYFORMULA(SPLIT(K6, CHAR(10)))),
        {Capabilities!$E:$E, Capabilities!S:S},
        2,
        FALSE
      ) * 1,
      0
    )
  )
)"),46388.0)</f>
        <v>46388</v>
      </c>
      <c r="Q6" s="224"/>
      <c r="R6" s="237"/>
      <c r="S6" s="237"/>
    </row>
    <row r="7" ht="31.5" customHeight="1" outlineLevel="1">
      <c r="A7" s="115"/>
      <c r="B7" s="228" t="s">
        <v>605</v>
      </c>
      <c r="C7" s="229" t="s">
        <v>606</v>
      </c>
      <c r="D7" s="230" t="s">
        <v>323</v>
      </c>
      <c r="E7" s="231" t="s">
        <v>588</v>
      </c>
      <c r="F7" s="232" t="s">
        <v>366</v>
      </c>
      <c r="G7" s="231" t="s">
        <v>281</v>
      </c>
      <c r="H7" s="233" t="s">
        <v>597</v>
      </c>
      <c r="I7" s="234"/>
      <c r="J7" s="235" t="s">
        <v>322</v>
      </c>
      <c r="K7" s="224" t="s">
        <v>607</v>
      </c>
      <c r="L7" s="236" t="str">
        <f>IFERROR(__xludf.DUMMYFUNCTION("IF(COUNTBLANK(B7)&gt;0, """", IFERROR(JOIN("", ""&amp;CHAR(10), FILTER(IMPORTRANGE(""https://docs.google.com/spreadsheets/d/1Fgd7GP5RUQxajuAkULlL-NwY6xKNVDzD6d9lnxn5Xks/"", ""IGNORE: Issues/Risks!$E$5:$E$200""), 
ISNUMBER(SEARCH(B7, IMPORTRANGE(""https://docs.go"&amp;"ogle.com/spreadsheets/d/1Fgd7GP5RUQxajuAkULlL-NwY6xKNVDzD6d9lnxn5Xks/"", ""IGNORE: Issues/Risks!$J$5:$J$200""))))), ""No Match"")
)"),"C005, 
C012")</f>
        <v>C005, 
C012</v>
      </c>
      <c r="M7" s="226">
        <f>IFERROR(__xludf.DUMMYFUNCTION("MIN(
  ARRAYFORMULA(
    IFERROR(
      VLOOKUP(
        TRANSPOSE(ARRAYFORMULA(SPLIT(K7, CHAR(10)))),
        {Capabilities!$E:$E, Capabilities!P:P},
        2,
        FALSE
      ) * 1,
      9999999
    )
  )
)"),45931.0)</f>
        <v>45931</v>
      </c>
      <c r="N7" s="226">
        <f>IFERROR(__xludf.DUMMYFUNCTION("MAX(
  ARRAYFORMULA(
    IFERROR(
      VLOOKUP(
        TRANSPOSE(ARRAYFORMULA(SPLIT(K7, CHAR(10)))),
        {Capabilities!$E:$E, Capabilities!Q:Q},
        2,
        FALSE
      ) * 1,
      0
    )
  )
)"),46204.0)</f>
        <v>46204</v>
      </c>
      <c r="O7" s="226">
        <f>IFERROR(__xludf.DUMMYFUNCTION("MAX(
  ARRAYFORMULA(
    IFERROR(
      VLOOKUP(
        TRANSPOSE(ARRAYFORMULA(SPLIT(K7, CHAR(10)))),
        {Capabilities!$E:$E, Capabilities!R:R},
        2,
        FALSE
      ) * 1,
      0
    )
  )
)"),46296.0)</f>
        <v>46296</v>
      </c>
      <c r="P7" s="226">
        <f>IFERROR(__xludf.DUMMYFUNCTION("MAX(
  ARRAYFORMULA(
    IFERROR(
      VLOOKUP(
        TRANSPOSE(ARRAYFORMULA(SPLIT(K7, CHAR(10)))),
        {Capabilities!$E:$E, Capabilities!S:S},
        2,
        FALSE
      ) * 1,
      0
    )
  )
)"),46388.0)</f>
        <v>46388</v>
      </c>
      <c r="Q7" s="224"/>
      <c r="R7" s="227"/>
      <c r="S7" s="227"/>
    </row>
    <row r="8" ht="31.5" customHeight="1" outlineLevel="1">
      <c r="A8" s="115"/>
      <c r="B8" s="228" t="s">
        <v>608</v>
      </c>
      <c r="C8" s="229" t="s">
        <v>609</v>
      </c>
      <c r="D8" s="230" t="s">
        <v>323</v>
      </c>
      <c r="E8" s="231" t="s">
        <v>588</v>
      </c>
      <c r="F8" s="232" t="s">
        <v>366</v>
      </c>
      <c r="G8" s="231" t="s">
        <v>281</v>
      </c>
      <c r="H8" s="233" t="s">
        <v>610</v>
      </c>
      <c r="I8" s="234"/>
      <c r="J8" s="238" t="s">
        <v>334</v>
      </c>
      <c r="K8" s="224" t="s">
        <v>611</v>
      </c>
      <c r="L8" s="225" t="str">
        <f>IFERROR(__xludf.DUMMYFUNCTION("IF(COUNTBLANK(B8)&gt;0, """", IFERROR(JOIN("", ""&amp;CHAR(10), FILTER(IMPORTRANGE(""https://docs.google.com/spreadsheets/d/1Fgd7GP5RUQxajuAkULlL-NwY6xKNVDzD6d9lnxn5Xks/"", ""IGNORE: Issues/Risks!$E$5:$E$200""), 
ISNUMBER(SEARCH(B8, IMPORTRANGE(""https://docs.go"&amp;"ogle.com/spreadsheets/d/1Fgd7GP5RUQxajuAkULlL-NwY6xKNVDzD6d9lnxn5Xks/"", ""IGNORE: Issues/Risks!$J$5:$J$200""))))), ""No Match"")
)"),"C005, 
C012")</f>
        <v>C005, 
C012</v>
      </c>
      <c r="M8" s="226">
        <f>IFERROR(__xludf.DUMMYFUNCTION("MIN(
  ARRAYFORMULA(
    IFERROR(
      VLOOKUP(
        TRANSPOSE(ARRAYFORMULA(SPLIT(K8, CHAR(10)))),
        {Capabilities!$E:$E, Capabilities!P:P},
        2,
        FALSE
      ) * 1,
      9999999
    )
  )
)"),46023.0)</f>
        <v>46023</v>
      </c>
      <c r="N8" s="226">
        <f>IFERROR(__xludf.DUMMYFUNCTION("MAX(
  ARRAYFORMULA(
    IFERROR(
      VLOOKUP(
        TRANSPOSE(ARRAYFORMULA(SPLIT(K8, CHAR(10)))),
        {Capabilities!$E:$E, Capabilities!Q:Q},
        2,
        FALSE
      ) * 1,
      0
    )
  )
)"),46204.0)</f>
        <v>46204</v>
      </c>
      <c r="O8" s="226">
        <f>IFERROR(__xludf.DUMMYFUNCTION("MAX(
  ARRAYFORMULA(
    IFERROR(
      VLOOKUP(
        TRANSPOSE(ARRAYFORMULA(SPLIT(K8, CHAR(10)))),
        {Capabilities!$E:$E, Capabilities!R:R},
        2,
        FALSE
      ) * 1,
      0
    )
  )
)"),46296.0)</f>
        <v>46296</v>
      </c>
      <c r="P8" s="226">
        <f>IFERROR(__xludf.DUMMYFUNCTION("MAX(
  ARRAYFORMULA(
    IFERROR(
      VLOOKUP(
        TRANSPOSE(ARRAYFORMULA(SPLIT(K8, CHAR(10)))),
        {Capabilities!$E:$E, Capabilities!S:S},
        2,
        FALSE
      ) * 1,
      0
    )
  )
)"),46388.0)</f>
        <v>46388</v>
      </c>
      <c r="Q8" s="224"/>
      <c r="R8" s="227"/>
      <c r="S8" s="227"/>
    </row>
    <row r="9" ht="31.5" customHeight="1" outlineLevel="1">
      <c r="A9" s="115"/>
      <c r="B9" s="239"/>
      <c r="C9" s="240"/>
      <c r="D9" s="241"/>
      <c r="E9" s="242"/>
      <c r="F9" s="243"/>
      <c r="G9" s="242"/>
      <c r="H9" s="243"/>
      <c r="I9" s="244"/>
      <c r="J9" s="244"/>
      <c r="K9" s="245"/>
      <c r="L9" s="246" t="str">
        <f>IFERROR(__xludf.DUMMYFUNCTION("IF(COUNTBLANK(B9)&gt;0, """", IFERROR(JOIN("", ""&amp;CHAR(10), FILTER(IMPORTRANGE(""https://docs.google.com/spreadsheets/d/1Fgd7GP5RUQxajuAkULlL-NwY6xKNVDzD6d9lnxn5Xks/"", ""IGNORE: Issues/Risks!$E$5:$E$200""), 
ISNUMBER(SEARCH(B9, IMPORTRANGE(""https://docs.go"&amp;"ogle.com/spreadsheets/d/1Fgd7GP5RUQxajuAkULlL-NwY6xKNVDzD6d9lnxn5Xks/"", ""IGNORE: Issues/Risks!$J$5:$J$200""))))), ""No Match"")
)"),"")</f>
        <v/>
      </c>
      <c r="M9" s="247"/>
      <c r="N9" s="247"/>
      <c r="O9" s="247"/>
      <c r="P9" s="247"/>
      <c r="Q9" s="245"/>
      <c r="R9" s="227"/>
      <c r="S9" s="245"/>
    </row>
    <row r="10" ht="31.5" customHeight="1">
      <c r="A10" s="248" t="s">
        <v>612</v>
      </c>
      <c r="B10" s="249" t="s">
        <v>613</v>
      </c>
      <c r="C10" s="250" t="s">
        <v>614</v>
      </c>
      <c r="D10" s="251" t="s">
        <v>323</v>
      </c>
      <c r="E10" s="252" t="s">
        <v>588</v>
      </c>
      <c r="F10" s="253" t="s">
        <v>366</v>
      </c>
      <c r="G10" s="252" t="s">
        <v>281</v>
      </c>
      <c r="H10" s="254" t="s">
        <v>615</v>
      </c>
      <c r="I10" s="254"/>
      <c r="J10" s="254" t="s">
        <v>322</v>
      </c>
      <c r="K10" s="255" t="s">
        <v>616</v>
      </c>
      <c r="L10" s="256" t="str">
        <f>IFERROR(__xludf.DUMMYFUNCTION("IF(COUNTBLANK(B10)&gt;0, """", IFERROR(JOIN("", ""&amp;CHAR(10), FILTER(IMPORTRANGE(""https://docs.google.com/spreadsheets/d/1Fgd7GP5RUQxajuAkULlL-NwY6xKNVDzD6d9lnxn5Xks/"", ""IGNORE: Issues/Risks!$E$5:$E$200""), 
ISNUMBER(SEARCH(B10, IMPORTRANGE(""https://docs."&amp;"google.com/spreadsheets/d/1Fgd7GP5RUQxajuAkULlL-NwY6xKNVDzD6d9lnxn5Xks/"", ""IGNORE: Issues/Risks!$J$5:$J$200""))))), ""No Match"")
)"),"C001")</f>
        <v>C001</v>
      </c>
      <c r="M10" s="226">
        <f>IFERROR(__xludf.DUMMYFUNCTION("MIN(
  ARRAYFORMULA(
    IFERROR(
      VLOOKUP(
        TRANSPOSE(ARRAYFORMULA(SPLIT(K10, CHAR(10)))),
        {Capabilities!$E:$E, Capabilities!P:P},
        2,
        FALSE
      ) * 1,
      9999999
    )
  )
)"),45931.0)</f>
        <v>45931</v>
      </c>
      <c r="N10" s="226">
        <f>IFERROR(__xludf.DUMMYFUNCTION("MAX(
  ARRAYFORMULA(
    IFERROR(
      VLOOKUP(
        TRANSPOSE(ARRAYFORMULA(SPLIT(K10, CHAR(10)))),
        {Capabilities!$E:$E, Capabilities!Q:Q},
        2,
        FALSE
      ) * 1,
      0
    )
  )
)"),45962.0)</f>
        <v>45962</v>
      </c>
      <c r="O10" s="226">
        <f>IFERROR(__xludf.DUMMYFUNCTION("MAX(
  ARRAYFORMULA(
    IFERROR(
      VLOOKUP(
        TRANSPOSE(ARRAYFORMULA(SPLIT(K10, CHAR(10)))),
        {Capabilities!$E:$E, Capabilities!R:R},
        2,
        FALSE
      ) * 1,
      0
    )
  )
)"),45962.0)</f>
        <v>45962</v>
      </c>
      <c r="P10" s="226">
        <f>IFERROR(__xludf.DUMMYFUNCTION("MAX(
  ARRAYFORMULA(
    IFERROR(
      VLOOKUP(
        TRANSPOSE(ARRAYFORMULA(SPLIT(K10, CHAR(10)))),
        {Capabilities!$E:$E, Capabilities!S:S},
        2,
        FALSE
      ) * 1,
      0
    )
  )
)"),46113.0)</f>
        <v>46113</v>
      </c>
      <c r="Q10" s="257"/>
      <c r="R10" s="258"/>
      <c r="S10" s="258"/>
    </row>
    <row r="11" ht="31.5" customHeight="1" outlineLevel="1">
      <c r="A11" s="259"/>
      <c r="B11" s="228" t="s">
        <v>617</v>
      </c>
      <c r="C11" s="260" t="s">
        <v>618</v>
      </c>
      <c r="D11" s="230" t="s">
        <v>323</v>
      </c>
      <c r="E11" s="231" t="s">
        <v>588</v>
      </c>
      <c r="F11" s="232" t="s">
        <v>366</v>
      </c>
      <c r="G11" s="231" t="s">
        <v>281</v>
      </c>
      <c r="H11" s="261" t="s">
        <v>619</v>
      </c>
      <c r="I11" s="261"/>
      <c r="J11" s="261" t="s">
        <v>322</v>
      </c>
      <c r="K11" s="262" t="s">
        <v>620</v>
      </c>
      <c r="L11" s="263" t="str">
        <f>IFERROR(__xludf.DUMMYFUNCTION("IF(COUNTBLANK(B11)&gt;0, """", IFERROR(JOIN("", ""&amp;CHAR(10), FILTER(IMPORTRANGE(""https://docs.google.com/spreadsheets/d/1Fgd7GP5RUQxajuAkULlL-NwY6xKNVDzD6d9lnxn5Xks/"", ""IGNORE: Issues/Risks!$E$5:$E$200""), 
ISNUMBER(SEARCH(B11, IMPORTRANGE(""https://docs."&amp;"google.com/spreadsheets/d/1Fgd7GP5RUQxajuAkULlL-NwY6xKNVDzD6d9lnxn5Xks/"", ""IGNORE: Issues/Risks!$J$5:$J$200""))))), ""No Match"")
)"),", 
C002")</f>
        <v>, 
C002</v>
      </c>
      <c r="M11" s="226">
        <f>IFERROR(__xludf.DUMMYFUNCTION("MIN(
  ARRAYFORMULA(
    IFERROR(
      VLOOKUP(
        TRANSPOSE(ARRAYFORMULA(SPLIT(K11, CHAR(10)))),
        {Capabilities!$E:$E, Capabilities!P:P},
        2,
        FALSE
      ) * 1,
      9999999
    )
  )
)"),45931.0)</f>
        <v>45931</v>
      </c>
      <c r="N11" s="226">
        <f>IFERROR(__xludf.DUMMYFUNCTION("MAX(
  ARRAYFORMULA(
    IFERROR(
      VLOOKUP(
        TRANSPOSE(ARRAYFORMULA(SPLIT(K11, CHAR(10)))),
        {Capabilities!$E:$E, Capabilities!Q:Q},
        2,
        FALSE
      ) * 1,
      0
    )
  )
)"),45962.0)</f>
        <v>45962</v>
      </c>
      <c r="O11" s="226">
        <f>IFERROR(__xludf.DUMMYFUNCTION("MAX(
  ARRAYFORMULA(
    IFERROR(
      VLOOKUP(
        TRANSPOSE(ARRAYFORMULA(SPLIT(K11, CHAR(10)))),
        {Capabilities!$E:$E, Capabilities!R:R},
        2,
        FALSE
      ) * 1,
      0
    )
  )
)"),46113.0)</f>
        <v>46113</v>
      </c>
      <c r="P11" s="226">
        <f>IFERROR(__xludf.DUMMYFUNCTION("MAX(
  ARRAYFORMULA(
    IFERROR(
      VLOOKUP(
        TRANSPOSE(ARRAYFORMULA(SPLIT(K11, CHAR(10)))),
        {Capabilities!$E:$E, Capabilities!S:S},
        2,
        FALSE
      ) * 1,
      0
    )
  )
)"),46204.0)</f>
        <v>46204</v>
      </c>
      <c r="Q11" s="264"/>
      <c r="R11" s="227"/>
      <c r="S11" s="265"/>
    </row>
    <row r="12" ht="31.5" customHeight="1" outlineLevel="1">
      <c r="A12" s="259"/>
      <c r="B12" s="228" t="s">
        <v>621</v>
      </c>
      <c r="C12" s="260" t="s">
        <v>622</v>
      </c>
      <c r="D12" s="230" t="s">
        <v>323</v>
      </c>
      <c r="E12" s="231" t="s">
        <v>588</v>
      </c>
      <c r="F12" s="232" t="s">
        <v>366</v>
      </c>
      <c r="G12" s="231" t="s">
        <v>281</v>
      </c>
      <c r="H12" s="261"/>
      <c r="I12" s="261"/>
      <c r="J12" s="261" t="s">
        <v>340</v>
      </c>
      <c r="K12" s="262" t="s">
        <v>623</v>
      </c>
      <c r="L12" s="266" t="str">
        <f>IFERROR(__xludf.DUMMYFUNCTION("IF(COUNTBLANK(B12)&gt;0, """", IFERROR(JOIN("", ""&amp;CHAR(10), FILTER(IMPORTRANGE(""https://docs.google.com/spreadsheets/d/1Fgd7GP5RUQxajuAkULlL-NwY6xKNVDzD6d9lnxn5Xks/"", ""IGNORE: Issues/Risks!$E$5:$E$200""), 
ISNUMBER(SEARCH(B12, IMPORTRANGE(""https://docs."&amp;"google.com/spreadsheets/d/1Fgd7GP5RUQxajuAkULlL-NwY6xKNVDzD6d9lnxn5Xks/"", ""IGNORE: Issues/Risks!$J$5:$J$200""))))), ""No Match"")
)"),"C004")</f>
        <v>C004</v>
      </c>
      <c r="M12" s="226">
        <f>IFERROR(__xludf.DUMMYFUNCTION("MIN(
  ARRAYFORMULA(
    IFERROR(
      VLOOKUP(
        TRANSPOSE(ARRAYFORMULA(SPLIT(K12, CHAR(10)))),
        {Capabilities!$E:$E, Capabilities!P:P},
        2,
        FALSE
      ) * 1,
      9999999
    )
  )
)"),45931.0)</f>
        <v>45931</v>
      </c>
      <c r="N12" s="226">
        <f>IFERROR(__xludf.DUMMYFUNCTION("MAX(
  ARRAYFORMULA(
    IFERROR(
      VLOOKUP(
        TRANSPOSE(ARRAYFORMULA(SPLIT(K12, CHAR(10)))),
        {Capabilities!$E:$E, Capabilities!Q:Q},
        2,
        FALSE
      ) * 1,
      0
    )
  )
)"),45962.0)</f>
        <v>45962</v>
      </c>
      <c r="O12" s="226">
        <f>IFERROR(__xludf.DUMMYFUNCTION("MAX(
  ARRAYFORMULA(
    IFERROR(
      VLOOKUP(
        TRANSPOSE(ARRAYFORMULA(SPLIT(K12, CHAR(10)))),
        {Capabilities!$E:$E, Capabilities!R:R},
        2,
        FALSE
      ) * 1,
      0
    )
  )
)"),46113.0)</f>
        <v>46113</v>
      </c>
      <c r="P12" s="226">
        <f>IFERROR(__xludf.DUMMYFUNCTION("MAX(
  ARRAYFORMULA(
    IFERROR(
      VLOOKUP(
        TRANSPOSE(ARRAYFORMULA(SPLIT(K12, CHAR(10)))),
        {Capabilities!$E:$E, Capabilities!S:S},
        2,
        FALSE
      ) * 1,
      0
    )
  )
)"),46204.0)</f>
        <v>46204</v>
      </c>
      <c r="Q12" s="264"/>
      <c r="R12" s="227"/>
      <c r="S12" s="265"/>
    </row>
    <row r="13" ht="31.5" customHeight="1" outlineLevel="1">
      <c r="A13" s="259"/>
      <c r="B13" s="228" t="s">
        <v>624</v>
      </c>
      <c r="C13" s="267" t="s">
        <v>625</v>
      </c>
      <c r="D13" s="230" t="s">
        <v>323</v>
      </c>
      <c r="E13" s="231" t="s">
        <v>588</v>
      </c>
      <c r="F13" s="232" t="s">
        <v>366</v>
      </c>
      <c r="G13" s="231" t="s">
        <v>281</v>
      </c>
      <c r="H13" s="261"/>
      <c r="I13" s="261"/>
      <c r="J13" s="261" t="s">
        <v>322</v>
      </c>
      <c r="K13" s="262"/>
      <c r="L13" s="263" t="str">
        <f>IFERROR(__xludf.DUMMYFUNCTION("IF(COUNTBLANK(B13)&gt;0, """", IFERROR(JOIN("", ""&amp;CHAR(10), FILTER(IMPORTRANGE(""https://docs.google.com/spreadsheets/d/1Fgd7GP5RUQxajuAkULlL-NwY6xKNVDzD6d9lnxn5Xks/"", ""IGNORE: Issues/Risks!$E$5:$E$200""), 
ISNUMBER(SEARCH(B13, IMPORTRANGE(""https://docs."&amp;"google.com/spreadsheets/d/1Fgd7GP5RUQxajuAkULlL-NwY6xKNVDzD6d9lnxn5Xks/"", ""IGNORE: Issues/Risks!$J$5:$J$200""))))), ""No Match"")
)"),"No Match")</f>
        <v>No Match</v>
      </c>
      <c r="M13" s="226"/>
      <c r="N13" s="226"/>
      <c r="O13" s="226"/>
      <c r="P13" s="226"/>
      <c r="Q13" s="264"/>
      <c r="R13" s="227"/>
      <c r="S13" s="265"/>
    </row>
    <row r="14" ht="31.5" customHeight="1" outlineLevel="1">
      <c r="A14" s="259"/>
      <c r="B14" s="228" t="s">
        <v>626</v>
      </c>
      <c r="C14" s="260" t="s">
        <v>627</v>
      </c>
      <c r="D14" s="230" t="s">
        <v>323</v>
      </c>
      <c r="E14" s="231" t="s">
        <v>588</v>
      </c>
      <c r="F14" s="232" t="s">
        <v>366</v>
      </c>
      <c r="G14" s="231" t="s">
        <v>628</v>
      </c>
      <c r="H14" s="261"/>
      <c r="I14" s="261"/>
      <c r="J14" s="261" t="s">
        <v>322</v>
      </c>
      <c r="K14" s="262" t="s">
        <v>629</v>
      </c>
      <c r="L14" s="266" t="str">
        <f>IFERROR(__xludf.DUMMYFUNCTION("IF(COUNTBLANK(B14)&gt;0, """", IFERROR(JOIN("", ""&amp;CHAR(10), FILTER(IMPORTRANGE(""https://docs.google.com/spreadsheets/d/1Fgd7GP5RUQxajuAkULlL-NwY6xKNVDzD6d9lnxn5Xks/"", ""IGNORE: Issues/Risks!$E$5:$E$200""), 
ISNUMBER(SEARCH(B14, IMPORTRANGE(""https://docs."&amp;"google.com/spreadsheets/d/1Fgd7GP5RUQxajuAkULlL-NwY6xKNVDzD6d9lnxn5Xks/"", ""IGNORE: Issues/Risks!$J$5:$J$200""))))), ""No Match"")
)"),"C001")</f>
        <v>C001</v>
      </c>
      <c r="M14" s="226">
        <f>IFERROR(__xludf.DUMMYFUNCTION("MIN(
  ARRAYFORMULA(
    IFERROR(
      VLOOKUP(
        TRANSPOSE(ARRAYFORMULA(SPLIT(K14, CHAR(10)))),
        {Capabilities!$E:$E, Capabilities!P:P},
        2,
        FALSE
      ) * 1,
      9999999
    )
  )
)"),45931.0)</f>
        <v>45931</v>
      </c>
      <c r="N14" s="226">
        <f>IFERROR(__xludf.DUMMYFUNCTION("MAX(
  ARRAYFORMULA(
    IFERROR(
      VLOOKUP(
        TRANSPOSE(ARRAYFORMULA(SPLIT(K14, CHAR(10)))),
        {Capabilities!$E:$E, Capabilities!Q:Q},
        2,
        FALSE
      ) * 1,
      0
    )
  )
)"),45962.0)</f>
        <v>45962</v>
      </c>
      <c r="O14" s="226">
        <f>IFERROR(__xludf.DUMMYFUNCTION("MAX(
  ARRAYFORMULA(
    IFERROR(
      VLOOKUP(
        TRANSPOSE(ARRAYFORMULA(SPLIT(K14, CHAR(10)))),
        {Capabilities!$E:$E, Capabilities!R:R},
        2,
        FALSE
      ) * 1,
      0
    )
  )
)"),45962.0)</f>
        <v>45962</v>
      </c>
      <c r="P14" s="226">
        <f>IFERROR(__xludf.DUMMYFUNCTION("MAX(
  ARRAYFORMULA(
    IFERROR(
      VLOOKUP(
        TRANSPOSE(ARRAYFORMULA(SPLIT(K14, CHAR(10)))),
        {Capabilities!$E:$E, Capabilities!S:S},
        2,
        FALSE
      ) * 1,
      0
    )
  )
)"),46113.0)</f>
        <v>46113</v>
      </c>
      <c r="Q14" s="264"/>
      <c r="R14" s="227"/>
      <c r="S14" s="268"/>
    </row>
    <row r="15" ht="31.5" customHeight="1" outlineLevel="1">
      <c r="A15" s="259"/>
      <c r="B15" s="269" t="s">
        <v>630</v>
      </c>
      <c r="C15" s="260" t="s">
        <v>631</v>
      </c>
      <c r="D15" s="230" t="s">
        <v>323</v>
      </c>
      <c r="E15" s="231" t="s">
        <v>588</v>
      </c>
      <c r="F15" s="232" t="s">
        <v>366</v>
      </c>
      <c r="G15" s="270" t="s">
        <v>281</v>
      </c>
      <c r="H15" s="261" t="s">
        <v>632</v>
      </c>
      <c r="I15" s="261"/>
      <c r="J15" s="230" t="s">
        <v>322</v>
      </c>
      <c r="K15" s="238" t="s">
        <v>633</v>
      </c>
      <c r="L15" s="263" t="str">
        <f>IFERROR(__xludf.DUMMYFUNCTION("IF(COUNTBLANK(B15)&gt;0, """", IFERROR(JOIN("", ""&amp;CHAR(10), FILTER(IMPORTRANGE(""https://docs.google.com/spreadsheets/d/1Fgd7GP5RUQxajuAkULlL-NwY6xKNVDzD6d9lnxn5Xks/"", ""IGNORE: Issues/Risks!$E$5:$E$200""), 
ISNUMBER(SEARCH(B15, IMPORTRANGE(""https://docs."&amp;"google.com/spreadsheets/d/1Fgd7GP5RUQxajuAkULlL-NwY6xKNVDzD6d9lnxn5Xks/"", ""IGNORE: Issues/Risks!$J$5:$J$200""))))), ""No Match"")
)"),"No Match")</f>
        <v>No Match</v>
      </c>
      <c r="M15" s="226">
        <f>IFERROR(__xludf.DUMMYFUNCTION("MIN(
  ARRAYFORMULA(
    IFERROR(
      VLOOKUP(
        TRANSPOSE(ARRAYFORMULA(SPLIT(K15, CHAR(10)))),
        {Capabilities!$E:$E, Capabilities!P:P},
        2,
        FALSE
      ) * 1,
      9999999
    )
  )
)"),45931.0)</f>
        <v>45931</v>
      </c>
      <c r="N15" s="226">
        <f>IFERROR(__xludf.DUMMYFUNCTION("MAX(
  ARRAYFORMULA(
    IFERROR(
      VLOOKUP(
        TRANSPOSE(ARRAYFORMULA(SPLIT(K15, CHAR(10)))),
        {Capabilities!$E:$E, Capabilities!Q:Q},
        2,
        FALSE
      ) * 1,
      0
    )
  )
)"),45962.0)</f>
        <v>45962</v>
      </c>
      <c r="O15" s="226">
        <f>IFERROR(__xludf.DUMMYFUNCTION("MAX(
  ARRAYFORMULA(
    IFERROR(
      VLOOKUP(
        TRANSPOSE(ARRAYFORMULA(SPLIT(K15, CHAR(10)))),
        {Capabilities!$E:$E, Capabilities!R:R},
        2,
        FALSE
      ) * 1,
      0
    )
  )
)"),46113.0)</f>
        <v>46113</v>
      </c>
      <c r="P15" s="226">
        <f>IFERROR(__xludf.DUMMYFUNCTION("MAX(
  ARRAYFORMULA(
    IFERROR(
      VLOOKUP(
        TRANSPOSE(ARRAYFORMULA(SPLIT(K15, CHAR(10)))),
        {Capabilities!$E:$E, Capabilities!S:S},
        2,
        FALSE
      ) * 1,
      0
    )
  )
)"),46204.0)</f>
        <v>46204</v>
      </c>
      <c r="Q15" s="271"/>
      <c r="R15" s="227"/>
      <c r="S15" s="268"/>
    </row>
    <row r="16" ht="31.5" customHeight="1" outlineLevel="1">
      <c r="A16" s="259"/>
      <c r="B16" s="269" t="s">
        <v>634</v>
      </c>
      <c r="C16" s="260" t="s">
        <v>635</v>
      </c>
      <c r="D16" s="230" t="s">
        <v>323</v>
      </c>
      <c r="E16" s="231" t="s">
        <v>588</v>
      </c>
      <c r="F16" s="232" t="s">
        <v>366</v>
      </c>
      <c r="G16" s="270" t="s">
        <v>281</v>
      </c>
      <c r="H16" s="261"/>
      <c r="I16" s="261"/>
      <c r="J16" s="230" t="s">
        <v>334</v>
      </c>
      <c r="K16" s="238" t="s">
        <v>101</v>
      </c>
      <c r="L16" s="266" t="str">
        <f>IFERROR(__xludf.DUMMYFUNCTION("IF(COUNTBLANK(B16)&gt;0, """", IFERROR(JOIN("", ""&amp;CHAR(10), FILTER(IMPORTRANGE(""https://docs.google.com/spreadsheets/d/1Fgd7GP5RUQxajuAkULlL-NwY6xKNVDzD6d9lnxn5Xks/"", ""IGNORE: Issues/Risks!$E$5:$E$200""), 
ISNUMBER(SEARCH(B16, IMPORTRANGE(""https://docs."&amp;"google.com/spreadsheets/d/1Fgd7GP5RUQxajuAkULlL-NwY6xKNVDzD6d9lnxn5Xks/"", ""IGNORE: Issues/Risks!$J$5:$J$200""))))), ""No Match"")
)"),"No Match")</f>
        <v>No Match</v>
      </c>
      <c r="M16" s="226"/>
      <c r="N16" s="226"/>
      <c r="O16" s="226"/>
      <c r="P16" s="226"/>
      <c r="Q16" s="271"/>
      <c r="R16" s="227"/>
      <c r="S16" s="268"/>
    </row>
    <row r="17" ht="31.5" customHeight="1" outlineLevel="1">
      <c r="A17" s="259"/>
      <c r="B17" s="269" t="s">
        <v>636</v>
      </c>
      <c r="C17" s="272" t="s">
        <v>637</v>
      </c>
      <c r="D17" s="230" t="s">
        <v>323</v>
      </c>
      <c r="E17" s="231" t="s">
        <v>588</v>
      </c>
      <c r="F17" s="232" t="s">
        <v>366</v>
      </c>
      <c r="G17" s="270" t="s">
        <v>281</v>
      </c>
      <c r="H17" s="261"/>
      <c r="I17" s="261"/>
      <c r="J17" s="230" t="s">
        <v>322</v>
      </c>
      <c r="K17" s="238" t="s">
        <v>638</v>
      </c>
      <c r="L17" s="263" t="str">
        <f>IFERROR(__xludf.DUMMYFUNCTION("IF(COUNTBLANK(B17)&gt;0, """", IFERROR(JOIN("", ""&amp;CHAR(10), FILTER(IMPORTRANGE(""https://docs.google.com/spreadsheets/d/1Fgd7GP5RUQxajuAkULlL-NwY6xKNVDzD6d9lnxn5Xks/"", ""IGNORE: Issues/Risks!$E$5:$E$200""), 
ISNUMBER(SEARCH(B17, IMPORTRANGE(""https://docs."&amp;"google.com/spreadsheets/d/1Fgd7GP5RUQxajuAkULlL-NwY6xKNVDzD6d9lnxn5Xks/"", ""IGNORE: Issues/Risks!$J$5:$J$200""))))), ""No Match"")
)"),"No Match")</f>
        <v>No Match</v>
      </c>
      <c r="M17" s="226"/>
      <c r="N17" s="226"/>
      <c r="O17" s="226"/>
      <c r="P17" s="226"/>
      <c r="Q17" s="271"/>
      <c r="R17" s="227"/>
      <c r="S17" s="268"/>
    </row>
    <row r="18" ht="31.5" customHeight="1" outlineLevel="1">
      <c r="A18" s="259"/>
      <c r="B18" s="269" t="s">
        <v>639</v>
      </c>
      <c r="C18" s="272" t="s">
        <v>640</v>
      </c>
      <c r="D18" s="230" t="s">
        <v>323</v>
      </c>
      <c r="E18" s="231" t="s">
        <v>588</v>
      </c>
      <c r="F18" s="232" t="s">
        <v>366</v>
      </c>
      <c r="G18" s="231" t="s">
        <v>628</v>
      </c>
      <c r="H18" s="261"/>
      <c r="I18" s="261"/>
      <c r="J18" s="230" t="s">
        <v>322</v>
      </c>
      <c r="K18" s="238" t="s">
        <v>641</v>
      </c>
      <c r="L18" s="266" t="str">
        <f>IFERROR(__xludf.DUMMYFUNCTION("IF(COUNTBLANK(B18)&gt;0, """", IFERROR(JOIN("", ""&amp;CHAR(10), FILTER(IMPORTRANGE(""https://docs.google.com/spreadsheets/d/1Fgd7GP5RUQxajuAkULlL-NwY6xKNVDzD6d9lnxn5Xks/"", ""IGNORE: Issues/Risks!$E$5:$E$200""), 
ISNUMBER(SEARCH(B18, IMPORTRANGE(""https://docs."&amp;"google.com/spreadsheets/d/1Fgd7GP5RUQxajuAkULlL-NwY6xKNVDzD6d9lnxn5Xks/"", ""IGNORE: Issues/Risks!$J$5:$J$200""))))), ""No Match"")
)"),"No Match")</f>
        <v>No Match</v>
      </c>
      <c r="M18" s="226">
        <f>IFERROR(__xludf.DUMMYFUNCTION("MIN(
  ARRAYFORMULA(
    IFERROR(
      VLOOKUP(
        TRANSPOSE(ARRAYFORMULA(SPLIT(K18, CHAR(10)))),
        {Capabilities!$E:$E, Capabilities!P:P},
        2,
        FALSE
      ) * 1,
      9999999
    )
  )
)"),45931.0)</f>
        <v>45931</v>
      </c>
      <c r="N18" s="226">
        <f>IFERROR(__xludf.DUMMYFUNCTION("MAX(
  ARRAYFORMULA(
    IFERROR(
      VLOOKUP(
        TRANSPOSE(ARRAYFORMULA(SPLIT(K18, CHAR(10)))),
        {Capabilities!$E:$E, Capabilities!Q:Q},
        2,
        FALSE
      ) * 1,
      0
    )
  )
)"),45962.0)</f>
        <v>45962</v>
      </c>
      <c r="O18" s="226">
        <f>IFERROR(__xludf.DUMMYFUNCTION("MAX(
  ARRAYFORMULA(
    IFERROR(
      VLOOKUP(
        TRANSPOSE(ARRAYFORMULA(SPLIT(K18, CHAR(10)))),
        {Capabilities!$E:$E, Capabilities!R:R},
        2,
        FALSE
      ) * 1,
      0
    )
  )
)"),45962.0)</f>
        <v>45962</v>
      </c>
      <c r="P18" s="226">
        <f>IFERROR(__xludf.DUMMYFUNCTION("MAX(
  ARRAYFORMULA(
    IFERROR(
      VLOOKUP(
        TRANSPOSE(ARRAYFORMULA(SPLIT(K18, CHAR(10)))),
        {Capabilities!$E:$E, Capabilities!S:S},
        2,
        FALSE
      ) * 1,
      0
    )
  )
)"),46113.0)</f>
        <v>46113</v>
      </c>
      <c r="Q18" s="271"/>
      <c r="R18" s="227"/>
      <c r="S18" s="268"/>
    </row>
    <row r="19" ht="31.5" customHeight="1" outlineLevel="1">
      <c r="A19" s="259"/>
      <c r="B19" s="269" t="s">
        <v>642</v>
      </c>
      <c r="C19" s="272" t="s">
        <v>643</v>
      </c>
      <c r="D19" s="230" t="s">
        <v>323</v>
      </c>
      <c r="E19" s="231" t="s">
        <v>588</v>
      </c>
      <c r="F19" s="232" t="s">
        <v>366</v>
      </c>
      <c r="G19" s="231" t="s">
        <v>628</v>
      </c>
      <c r="H19" s="261" t="s">
        <v>644</v>
      </c>
      <c r="I19" s="261"/>
      <c r="J19" s="230" t="s">
        <v>340</v>
      </c>
      <c r="K19" s="238" t="s">
        <v>645</v>
      </c>
      <c r="L19" s="263" t="str">
        <f>IFERROR(__xludf.DUMMYFUNCTION("IF(COUNTBLANK(B19)&gt;0, """", IFERROR(JOIN("", ""&amp;CHAR(10), FILTER(IMPORTRANGE(""https://docs.google.com/spreadsheets/d/1Fgd7GP5RUQxajuAkULlL-NwY6xKNVDzD6d9lnxn5Xks/"", ""IGNORE: Issues/Risks!$E$5:$E$200""), 
ISNUMBER(SEARCH(B19, IMPORTRANGE(""https://docs."&amp;"google.com/spreadsheets/d/1Fgd7GP5RUQxajuAkULlL-NwY6xKNVDzD6d9lnxn5Xks/"", ""IGNORE: Issues/Risks!$J$5:$J$200""))))), ""No Match"")
)"),"No Match")</f>
        <v>No Match</v>
      </c>
      <c r="M19" s="226">
        <f>IFERROR(__xludf.DUMMYFUNCTION("MIN(
  ARRAYFORMULA(
    IFERROR(
      VLOOKUP(
        TRANSPOSE(ARRAYFORMULA(SPLIT(K19, CHAR(10)))),
        {Capabilities!$E:$E, Capabilities!P:P},
        2,
        FALSE
      ) * 1,
      9999999
    )
  )
)"),46113.0)</f>
        <v>46113</v>
      </c>
      <c r="N19" s="226">
        <f>IFERROR(__xludf.DUMMYFUNCTION("MAX(
  ARRAYFORMULA(
    IFERROR(
      VLOOKUP(
        TRANSPOSE(ARRAYFORMULA(SPLIT(K19, CHAR(10)))),
        {Capabilities!$E:$E, Capabilities!Q:Q},
        2,
        FALSE
      ) * 1,
      0
    )
  )
)"),46204.0)</f>
        <v>46204</v>
      </c>
      <c r="O19" s="226">
        <f>IFERROR(__xludf.DUMMYFUNCTION("MAX(
  ARRAYFORMULA(
    IFERROR(
      VLOOKUP(
        TRANSPOSE(ARRAYFORMULA(SPLIT(K19, CHAR(10)))),
        {Capabilities!$E:$E, Capabilities!R:R},
        2,
        FALSE
      ) * 1,
      0
    )
  )
)"),46296.0)</f>
        <v>46296</v>
      </c>
      <c r="P19" s="226">
        <f>IFERROR(__xludf.DUMMYFUNCTION("MAX(
  ARRAYFORMULA(
    IFERROR(
      VLOOKUP(
        TRANSPOSE(ARRAYFORMULA(SPLIT(K19, CHAR(10)))),
        {Capabilities!$E:$E, Capabilities!S:S},
        2,
        FALSE
      ) * 1,
      0
    )
  )
)"),46388.0)</f>
        <v>46388</v>
      </c>
      <c r="Q19" s="271"/>
      <c r="R19" s="227"/>
      <c r="S19" s="268"/>
    </row>
    <row r="20" ht="31.5" customHeight="1" outlineLevel="1">
      <c r="A20" s="259"/>
      <c r="B20" s="269" t="s">
        <v>646</v>
      </c>
      <c r="C20" s="272" t="s">
        <v>647</v>
      </c>
      <c r="D20" s="230" t="s">
        <v>323</v>
      </c>
      <c r="E20" s="231" t="s">
        <v>588</v>
      </c>
      <c r="F20" s="232" t="s">
        <v>366</v>
      </c>
      <c r="G20" s="231" t="s">
        <v>628</v>
      </c>
      <c r="H20" s="261" t="s">
        <v>648</v>
      </c>
      <c r="I20" s="261"/>
      <c r="J20" s="230" t="s">
        <v>322</v>
      </c>
      <c r="K20" s="238" t="s">
        <v>649</v>
      </c>
      <c r="L20" s="266" t="str">
        <f>IFERROR(__xludf.DUMMYFUNCTION("IF(COUNTBLANK(B20)&gt;0, """", IFERROR(JOIN("", ""&amp;CHAR(10), FILTER(IMPORTRANGE(""https://docs.google.com/spreadsheets/d/1Fgd7GP5RUQxajuAkULlL-NwY6xKNVDzD6d9lnxn5Xks/"", ""IGNORE: Issues/Risks!$E$5:$E$200""), 
ISNUMBER(SEARCH(B20, IMPORTRANGE(""https://docs."&amp;"google.com/spreadsheets/d/1Fgd7GP5RUQxajuAkULlL-NwY6xKNVDzD6d9lnxn5Xks/"", ""IGNORE: Issues/Risks!$J$5:$J$200""))))), ""No Match"")
)"),"No Match")</f>
        <v>No Match</v>
      </c>
      <c r="M20" s="226"/>
      <c r="N20" s="226"/>
      <c r="O20" s="226"/>
      <c r="P20" s="226"/>
      <c r="Q20" s="271"/>
      <c r="R20" s="227"/>
      <c r="S20" s="268"/>
    </row>
    <row r="21" ht="31.5" customHeight="1" outlineLevel="1">
      <c r="A21" s="259"/>
      <c r="B21" s="269" t="s">
        <v>650</v>
      </c>
      <c r="C21" s="272" t="s">
        <v>651</v>
      </c>
      <c r="D21" s="230" t="s">
        <v>323</v>
      </c>
      <c r="E21" s="231" t="s">
        <v>588</v>
      </c>
      <c r="F21" s="232" t="s">
        <v>366</v>
      </c>
      <c r="G21" s="231" t="s">
        <v>628</v>
      </c>
      <c r="H21" s="261" t="s">
        <v>652</v>
      </c>
      <c r="I21" s="261"/>
      <c r="J21" s="230" t="s">
        <v>322</v>
      </c>
      <c r="K21" s="238" t="s">
        <v>653</v>
      </c>
      <c r="L21" s="263" t="str">
        <f>IFERROR(__xludf.DUMMYFUNCTION("IF(COUNTBLANK(B21)&gt;0, """", IFERROR(JOIN("", ""&amp;CHAR(10), FILTER(IMPORTRANGE(""https://docs.google.com/spreadsheets/d/1Fgd7GP5RUQxajuAkULlL-NwY6xKNVDzD6d9lnxn5Xks/"", ""IGNORE: Issues/Risks!$E$5:$E$200""), 
ISNUMBER(SEARCH(B21, IMPORTRANGE(""https://docs."&amp;"google.com/spreadsheets/d/1Fgd7GP5RUQxajuAkULlL-NwY6xKNVDzD6d9lnxn5Xks/"", ""IGNORE: Issues/Risks!$J$5:$J$200""))))), ""No Match"")
)"),"No Match")</f>
        <v>No Match</v>
      </c>
      <c r="M21" s="226">
        <f>IFERROR(__xludf.DUMMYFUNCTION("MIN(
  ARRAYFORMULA(
    IFERROR(
      VLOOKUP(
        TRANSPOSE(ARRAYFORMULA(SPLIT(K21, CHAR(10)))),
        {Capabilities!$E:$E, Capabilities!P:P},
        2,
        FALSE
      ) * 1,
      9999999
    )
  )
)"),45931.0)</f>
        <v>45931</v>
      </c>
      <c r="N21" s="226">
        <f>IFERROR(__xludf.DUMMYFUNCTION("MAX(
  ARRAYFORMULA(
    IFERROR(
      VLOOKUP(
        TRANSPOSE(ARRAYFORMULA(SPLIT(K21, CHAR(10)))),
        {Capabilities!$E:$E, Capabilities!Q:Q},
        2,
        FALSE
      ) * 1,
      0
    )
  )
)"),45962.0)</f>
        <v>45962</v>
      </c>
      <c r="O21" s="226">
        <f>IFERROR(__xludf.DUMMYFUNCTION("MAX(
  ARRAYFORMULA(
    IFERROR(
      VLOOKUP(
        TRANSPOSE(ARRAYFORMULA(SPLIT(K21, CHAR(10)))),
        {Capabilities!$E:$E, Capabilities!R:R},
        2,
        FALSE
      ) * 1,
      0
    )
  )
)"),45962.0)</f>
        <v>45962</v>
      </c>
      <c r="P21" s="226">
        <f>IFERROR(__xludf.DUMMYFUNCTION("MAX(
  ARRAYFORMULA(
    IFERROR(
      VLOOKUP(
        TRANSPOSE(ARRAYFORMULA(SPLIT(K21, CHAR(10)))),
        {Capabilities!$E:$E, Capabilities!S:S},
        2,
        FALSE
      ) * 1,
      0
    )
  )
)"),46113.0)</f>
        <v>46113</v>
      </c>
      <c r="Q21" s="271"/>
      <c r="R21" s="227"/>
      <c r="S21" s="268"/>
    </row>
    <row r="22" ht="31.5" customHeight="1" outlineLevel="1">
      <c r="A22" s="259"/>
      <c r="B22" s="269" t="s">
        <v>654</v>
      </c>
      <c r="C22" s="272" t="s">
        <v>655</v>
      </c>
      <c r="D22" s="230" t="s">
        <v>323</v>
      </c>
      <c r="E22" s="231" t="s">
        <v>588</v>
      </c>
      <c r="F22" s="232" t="s">
        <v>366</v>
      </c>
      <c r="G22" s="231" t="s">
        <v>628</v>
      </c>
      <c r="H22" s="261" t="s">
        <v>649</v>
      </c>
      <c r="I22" s="261" t="s">
        <v>656</v>
      </c>
      <c r="J22" s="230" t="s">
        <v>340</v>
      </c>
      <c r="K22" s="238" t="s">
        <v>657</v>
      </c>
      <c r="L22" s="266" t="str">
        <f>IFERROR(__xludf.DUMMYFUNCTION("IF(COUNTBLANK(B22)&gt;0, """", IFERROR(JOIN("", ""&amp;CHAR(10), FILTER(IMPORTRANGE(""https://docs.google.com/spreadsheets/d/1Fgd7GP5RUQxajuAkULlL-NwY6xKNVDzD6d9lnxn5Xks/"", ""IGNORE: Issues/Risks!$E$5:$E$200""), 
ISNUMBER(SEARCH(B22, IMPORTRANGE(""https://docs."&amp;"google.com/spreadsheets/d/1Fgd7GP5RUQxajuAkULlL-NwY6xKNVDzD6d9lnxn5Xks/"", ""IGNORE: Issues/Risks!$J$5:$J$200""))))), ""No Match"")
)"),"No Match")</f>
        <v>No Match</v>
      </c>
      <c r="M22" s="226">
        <f>IFERROR(__xludf.DUMMYFUNCTION("MIN(
  ARRAYFORMULA(
    IFERROR(
      VLOOKUP(
        TRANSPOSE(ARRAYFORMULA(SPLIT(K22, CHAR(10)))),
        {Capabilities!$E:$E, Capabilities!P:P},
        2,
        FALSE
      ) * 1,
      9999999
    )
  )
)"),46023.0)</f>
        <v>46023</v>
      </c>
      <c r="N22" s="226">
        <f>IFERROR(__xludf.DUMMYFUNCTION("MAX(
  ARRAYFORMULA(
    IFERROR(
      VLOOKUP(
        TRANSPOSE(ARRAYFORMULA(SPLIT(K22, CHAR(10)))),
        {Capabilities!$E:$E, Capabilities!Q:Q},
        2,
        FALSE
      ) * 1,
      0
    )
  )
)"),46113.0)</f>
        <v>46113</v>
      </c>
      <c r="O22" s="226">
        <f>IFERROR(__xludf.DUMMYFUNCTION("MAX(
  ARRAYFORMULA(
    IFERROR(
      VLOOKUP(
        TRANSPOSE(ARRAYFORMULA(SPLIT(K22, CHAR(10)))),
        {Capabilities!$E:$E, Capabilities!R:R},
        2,
        FALSE
      ) * 1,
      0
    )
  )
)"),46204.0)</f>
        <v>46204</v>
      </c>
      <c r="P22" s="226">
        <f>IFERROR(__xludf.DUMMYFUNCTION("MAX(
  ARRAYFORMULA(
    IFERROR(
      VLOOKUP(
        TRANSPOSE(ARRAYFORMULA(SPLIT(K22, CHAR(10)))),
        {Capabilities!$E:$E, Capabilities!S:S},
        2,
        FALSE
      ) * 1,
      0
    )
  )
)"),46296.0)</f>
        <v>46296</v>
      </c>
      <c r="Q22" s="271"/>
      <c r="R22" s="227"/>
      <c r="S22" s="268"/>
    </row>
    <row r="23" ht="31.5" customHeight="1" outlineLevel="1">
      <c r="A23" s="259"/>
      <c r="B23" s="273" t="s">
        <v>658</v>
      </c>
      <c r="C23" s="274" t="s">
        <v>659</v>
      </c>
      <c r="D23" s="230" t="s">
        <v>323</v>
      </c>
      <c r="E23" s="231" t="s">
        <v>588</v>
      </c>
      <c r="F23" s="232" t="s">
        <v>366</v>
      </c>
      <c r="G23" s="231" t="s">
        <v>628</v>
      </c>
      <c r="H23" s="275" t="s">
        <v>660</v>
      </c>
      <c r="I23" s="275"/>
      <c r="J23" s="241" t="s">
        <v>322</v>
      </c>
      <c r="K23" s="276" t="s">
        <v>661</v>
      </c>
      <c r="L23" s="277" t="str">
        <f>IFERROR(__xludf.DUMMYFUNCTION("IF(COUNTBLANK(B23)&gt;0, """", IFERROR(JOIN("", ""&amp;CHAR(10), FILTER(IMPORTRANGE(""https://docs.google.com/spreadsheets/d/1Fgd7GP5RUQxajuAkULlL-NwY6xKNVDzD6d9lnxn5Xks/"", ""IGNORE: Issues/Risks!$E$5:$E$200""), 
ISNUMBER(SEARCH(B23, IMPORTRANGE(""https://docs."&amp;"google.com/spreadsheets/d/1Fgd7GP5RUQxajuAkULlL-NwY6xKNVDzD6d9lnxn5Xks/"", ""IGNORE: Issues/Risks!$J$5:$J$200""))))), ""No Match"")
)"),"No Match")</f>
        <v>No Match</v>
      </c>
      <c r="M23" s="226">
        <f>IFERROR(__xludf.DUMMYFUNCTION("MIN(
  ARRAYFORMULA(
    IFERROR(
      VLOOKUP(
        TRANSPOSE(ARRAYFORMULA(SPLIT(K23, CHAR(10)))),
        {Capabilities!$E:$E, Capabilities!P:P},
        2,
        FALSE
      ) * 1,
      9999999
    )
  )
)"),45931.0)</f>
        <v>45931</v>
      </c>
      <c r="N23" s="226">
        <f>IFERROR(__xludf.DUMMYFUNCTION("MAX(
  ARRAYFORMULA(
    IFERROR(
      VLOOKUP(
        TRANSPOSE(ARRAYFORMULA(SPLIT(K23, CHAR(10)))),
        {Capabilities!$E:$E, Capabilities!Q:Q},
        2,
        FALSE
      ) * 1,
      0
    )
  )
)"),45962.0)</f>
        <v>45962</v>
      </c>
      <c r="O23" s="226">
        <f>IFERROR(__xludf.DUMMYFUNCTION("MAX(
  ARRAYFORMULA(
    IFERROR(
      VLOOKUP(
        TRANSPOSE(ARRAYFORMULA(SPLIT(K23, CHAR(10)))),
        {Capabilities!$E:$E, Capabilities!R:R},
        2,
        FALSE
      ) * 1,
      0
    )
  )
)"),46113.0)</f>
        <v>46113</v>
      </c>
      <c r="P23" s="226">
        <f>IFERROR(__xludf.DUMMYFUNCTION("MAX(
  ARRAYFORMULA(
    IFERROR(
      VLOOKUP(
        TRANSPOSE(ARRAYFORMULA(SPLIT(K23, CHAR(10)))),
        {Capabilities!$E:$E, Capabilities!S:S},
        2,
        FALSE
      ) * 1,
      0
    )
  )
)"),46204.0)</f>
        <v>46204</v>
      </c>
      <c r="Q23" s="271"/>
      <c r="R23" s="227"/>
      <c r="S23" s="278"/>
    </row>
    <row r="24" ht="31.5" customHeight="1" outlineLevel="1">
      <c r="A24" s="259"/>
      <c r="B24" s="239"/>
      <c r="C24" s="279"/>
      <c r="D24" s="241"/>
      <c r="E24" s="242"/>
      <c r="F24" s="243"/>
      <c r="G24" s="242"/>
      <c r="H24" s="243"/>
      <c r="I24" s="243"/>
      <c r="J24" s="243"/>
      <c r="K24" s="244"/>
      <c r="L24" s="280" t="str">
        <f>IFERROR(__xludf.DUMMYFUNCTION("IF(COUNTBLANK(B24)&gt;0, """", IFERROR(JOIN("", ""&amp;CHAR(10), FILTER(IMPORTRANGE(""https://docs.google.com/spreadsheets/d/1Fgd7GP5RUQxajuAkULlL-NwY6xKNVDzD6d9lnxn5Xks/"", ""IGNORE: Issues/Risks!$E$5:$E$200""), 
ISNUMBER(SEARCH(B24, IMPORTRANGE(""https://docs."&amp;"google.com/spreadsheets/d/1Fgd7GP5RUQxajuAkULlL-NwY6xKNVDzD6d9lnxn5Xks/"", ""IGNORE: Issues/Risks!$J$5:$J$200""))))), ""No Match"")
)"),"")</f>
        <v/>
      </c>
      <c r="M24" s="247"/>
      <c r="N24" s="247"/>
      <c r="O24" s="247"/>
      <c r="P24" s="247"/>
      <c r="Q24" s="245"/>
      <c r="R24" s="227"/>
      <c r="S24" s="245"/>
    </row>
    <row r="25" ht="31.5" customHeight="1">
      <c r="A25" s="248" t="s">
        <v>578</v>
      </c>
      <c r="B25" s="249" t="s">
        <v>662</v>
      </c>
      <c r="C25" s="281" t="s">
        <v>663</v>
      </c>
      <c r="D25" s="251" t="s">
        <v>323</v>
      </c>
      <c r="E25" s="252" t="s">
        <v>588</v>
      </c>
      <c r="F25" s="253" t="s">
        <v>363</v>
      </c>
      <c r="G25" s="282" t="s">
        <v>281</v>
      </c>
      <c r="H25" s="254" t="s">
        <v>664</v>
      </c>
      <c r="I25" s="254"/>
      <c r="J25" s="254" t="s">
        <v>322</v>
      </c>
      <c r="K25" s="255" t="s">
        <v>649</v>
      </c>
      <c r="L25" s="283" t="str">
        <f>IFERROR(__xludf.DUMMYFUNCTION("IF(COUNTBLANK(B25)&gt;0, """", IFERROR(JOIN("", ""&amp;CHAR(10), FILTER(IMPORTRANGE(""https://docs.google.com/spreadsheets/d/1Fgd7GP5RUQxajuAkULlL-NwY6xKNVDzD6d9lnxn5Xks/"", ""IGNORE: Issues/Risks!$E$5:$E$200""), 
ISNUMBER(SEARCH(B25, IMPORTRANGE(""https://docs."&amp;"google.com/spreadsheets/d/1Fgd7GP5RUQxajuAkULlL-NwY6xKNVDzD6d9lnxn5Xks/"", ""IGNORE: Issues/Risks!$J$5:$J$200""))))), ""No Match"")
)"),"No Match")</f>
        <v>No Match</v>
      </c>
      <c r="M25" s="226"/>
      <c r="N25" s="226"/>
      <c r="O25" s="226"/>
      <c r="P25" s="226"/>
      <c r="Q25" s="257"/>
      <c r="R25" s="258"/>
      <c r="S25" s="258"/>
    </row>
    <row r="26" ht="31.5" customHeight="1" outlineLevel="1">
      <c r="A26" s="259"/>
      <c r="B26" s="228" t="s">
        <v>665</v>
      </c>
      <c r="C26" s="284" t="s">
        <v>666</v>
      </c>
      <c r="D26" s="230" t="s">
        <v>323</v>
      </c>
      <c r="E26" s="231" t="s">
        <v>588</v>
      </c>
      <c r="F26" s="232" t="s">
        <v>366</v>
      </c>
      <c r="G26" s="270" t="s">
        <v>281</v>
      </c>
      <c r="H26" s="261" t="s">
        <v>667</v>
      </c>
      <c r="I26" s="261"/>
      <c r="J26" s="230" t="s">
        <v>334</v>
      </c>
      <c r="K26" s="238" t="s">
        <v>668</v>
      </c>
      <c r="L26" s="266" t="str">
        <f>IFERROR(__xludf.DUMMYFUNCTION("IF(COUNTBLANK(B26)&gt;0, """", IFERROR(JOIN("", ""&amp;CHAR(10), FILTER(IMPORTRANGE(""https://docs.google.com/spreadsheets/d/1Fgd7GP5RUQxajuAkULlL-NwY6xKNVDzD6d9lnxn5Xks/"", ""IGNORE: Issues/Risks!$E$5:$E$200""), 
ISNUMBER(SEARCH(B26, IMPORTRANGE(""https://docs."&amp;"google.com/spreadsheets/d/1Fgd7GP5RUQxajuAkULlL-NwY6xKNVDzD6d9lnxn5Xks/"", ""IGNORE: Issues/Risks!$J$5:$J$200""))))), ""No Match"")
)"),"No Match")</f>
        <v>No Match</v>
      </c>
      <c r="M26" s="226">
        <f>IFERROR(__xludf.DUMMYFUNCTION("MIN(
  ARRAYFORMULA(
    IFERROR(
      VLOOKUP(
        TRANSPOSE(ARRAYFORMULA(SPLIT(K26, CHAR(10)))),
        {Capabilities!$E:$E, Capabilities!P:P},
        2,
        FALSE
      ) * 1,
      9999999
    )
  )
)"),46113.0)</f>
        <v>46113</v>
      </c>
      <c r="N26" s="226">
        <f>IFERROR(__xludf.DUMMYFUNCTION("MAX(
  ARRAYFORMULA(
    IFERROR(
      VLOOKUP(
        TRANSPOSE(ARRAYFORMULA(SPLIT(K26, CHAR(10)))),
        {Capabilities!$E:$E, Capabilities!Q:Q},
        2,
        FALSE
      ) * 1,
      0
    )
  )
)"),46204.0)</f>
        <v>46204</v>
      </c>
      <c r="O26" s="226">
        <f>IFERROR(__xludf.DUMMYFUNCTION("MAX(
  ARRAYFORMULA(
    IFERROR(
      VLOOKUP(
        TRANSPOSE(ARRAYFORMULA(SPLIT(K26, CHAR(10)))),
        {Capabilities!$E:$E, Capabilities!R:R},
        2,
        FALSE
      ) * 1,
      0
    )
  )
)"),46296.0)</f>
        <v>46296</v>
      </c>
      <c r="P26" s="226">
        <f>IFERROR(__xludf.DUMMYFUNCTION("MAX(
  ARRAYFORMULA(
    IFERROR(
      VLOOKUP(
        TRANSPOSE(ARRAYFORMULA(SPLIT(K26, CHAR(10)))),
        {Capabilities!$E:$E, Capabilities!S:S},
        2,
        FALSE
      ) * 1,
      0
    )
  )
)"),46388.0)</f>
        <v>46388</v>
      </c>
      <c r="Q26" s="271"/>
      <c r="R26" s="268"/>
      <c r="S26" s="268"/>
    </row>
    <row r="27" ht="31.5" customHeight="1" outlineLevel="1">
      <c r="A27" s="259"/>
      <c r="B27" s="269" t="s">
        <v>669</v>
      </c>
      <c r="C27" s="229" t="s">
        <v>670</v>
      </c>
      <c r="D27" s="230" t="s">
        <v>323</v>
      </c>
      <c r="E27" s="231" t="s">
        <v>588</v>
      </c>
      <c r="F27" s="232" t="s">
        <v>363</v>
      </c>
      <c r="G27" s="270" t="s">
        <v>281</v>
      </c>
      <c r="H27" s="230" t="s">
        <v>671</v>
      </c>
      <c r="I27" s="230"/>
      <c r="J27" s="230" t="s">
        <v>322</v>
      </c>
      <c r="K27" s="238" t="s">
        <v>649</v>
      </c>
      <c r="L27" s="263" t="str">
        <f>IFERROR(__xludf.DUMMYFUNCTION("IF(COUNTBLANK(B27)&gt;0, """", IFERROR(JOIN("", ""&amp;CHAR(10), FILTER(IMPORTRANGE(""https://docs.google.com/spreadsheets/d/1Fgd7GP5RUQxajuAkULlL-NwY6xKNVDzD6d9lnxn5Xks/"", ""IGNORE: Issues/Risks!$E$5:$E$200""), 
ISNUMBER(SEARCH(B27, IMPORTRANGE(""https://docs."&amp;"google.com/spreadsheets/d/1Fgd7GP5RUQxajuAkULlL-NwY6xKNVDzD6d9lnxn5Xks/"", ""IGNORE: Issues/Risks!$J$5:$J$200""))))), ""No Match"")
)"),"No Match")</f>
        <v>No Match</v>
      </c>
      <c r="M27" s="226"/>
      <c r="N27" s="226"/>
      <c r="O27" s="226"/>
      <c r="P27" s="226"/>
      <c r="Q27" s="271"/>
      <c r="R27" s="268"/>
      <c r="S27" s="268"/>
    </row>
    <row r="28" ht="31.5" customHeight="1" outlineLevel="1">
      <c r="A28" s="259"/>
      <c r="B28" s="269" t="s">
        <v>672</v>
      </c>
      <c r="C28" s="229" t="s">
        <v>673</v>
      </c>
      <c r="D28" s="230" t="s">
        <v>323</v>
      </c>
      <c r="E28" s="231" t="s">
        <v>588</v>
      </c>
      <c r="F28" s="232" t="s">
        <v>363</v>
      </c>
      <c r="G28" s="270" t="s">
        <v>281</v>
      </c>
      <c r="H28" s="285" t="s">
        <v>674</v>
      </c>
      <c r="I28" s="285"/>
      <c r="J28" s="230" t="s">
        <v>322</v>
      </c>
      <c r="K28" s="238" t="s">
        <v>649</v>
      </c>
      <c r="L28" s="266" t="str">
        <f>IFERROR(__xludf.DUMMYFUNCTION("IF(COUNTBLANK(B28)&gt;0, """", IFERROR(JOIN("", ""&amp;CHAR(10), FILTER(IMPORTRANGE(""https://docs.google.com/spreadsheets/d/1Fgd7GP5RUQxajuAkULlL-NwY6xKNVDzD6d9lnxn5Xks/"", ""IGNORE: Issues/Risks!$E$5:$E$200""), 
ISNUMBER(SEARCH(B28, IMPORTRANGE(""https://docs."&amp;"google.com/spreadsheets/d/1Fgd7GP5RUQxajuAkULlL-NwY6xKNVDzD6d9lnxn5Xks/"", ""IGNORE: Issues/Risks!$J$5:$J$200""))))), ""No Match"")
)"),"No Match")</f>
        <v>No Match</v>
      </c>
      <c r="M28" s="226"/>
      <c r="N28" s="226"/>
      <c r="O28" s="226"/>
      <c r="P28" s="226"/>
      <c r="Q28" s="271"/>
      <c r="R28" s="268"/>
      <c r="S28" s="268"/>
    </row>
    <row r="29" ht="31.5" customHeight="1" outlineLevel="1">
      <c r="A29" s="259"/>
      <c r="B29" s="228" t="s">
        <v>675</v>
      </c>
      <c r="C29" s="286" t="s">
        <v>676</v>
      </c>
      <c r="D29" s="230" t="s">
        <v>323</v>
      </c>
      <c r="E29" s="231" t="s">
        <v>588</v>
      </c>
      <c r="F29" s="232" t="s">
        <v>363</v>
      </c>
      <c r="G29" s="270" t="s">
        <v>281</v>
      </c>
      <c r="H29" s="261" t="s">
        <v>677</v>
      </c>
      <c r="I29" s="261"/>
      <c r="J29" s="261" t="s">
        <v>322</v>
      </c>
      <c r="K29" s="262" t="s">
        <v>649</v>
      </c>
      <c r="L29" s="263" t="str">
        <f>IFERROR(__xludf.DUMMYFUNCTION("IF(COUNTBLANK(B29)&gt;0, """", IFERROR(JOIN("", ""&amp;CHAR(10), FILTER(IMPORTRANGE(""https://docs.google.com/spreadsheets/d/1Fgd7GP5RUQxajuAkULlL-NwY6xKNVDzD6d9lnxn5Xks/"", ""IGNORE: Issues/Risks!$E$5:$E$200""), 
ISNUMBER(SEARCH(B29, IMPORTRANGE(""https://docs."&amp;"google.com/spreadsheets/d/1Fgd7GP5RUQxajuAkULlL-NwY6xKNVDzD6d9lnxn5Xks/"", ""IGNORE: Issues/Risks!$J$5:$J$200""))))), ""No Match"")
)"),"No Match")</f>
        <v>No Match</v>
      </c>
      <c r="M29" s="226"/>
      <c r="N29" s="226"/>
      <c r="O29" s="226"/>
      <c r="P29" s="226"/>
      <c r="Q29" s="264"/>
      <c r="R29" s="268"/>
      <c r="S29" s="268"/>
    </row>
    <row r="30" ht="31.5" customHeight="1" outlineLevel="1">
      <c r="A30" s="259"/>
      <c r="B30" s="269" t="s">
        <v>678</v>
      </c>
      <c r="C30" s="272" t="s">
        <v>679</v>
      </c>
      <c r="D30" s="230" t="s">
        <v>323</v>
      </c>
      <c r="E30" s="231" t="s">
        <v>588</v>
      </c>
      <c r="F30" s="232" t="s">
        <v>363</v>
      </c>
      <c r="G30" s="270" t="s">
        <v>281</v>
      </c>
      <c r="H30" s="230" t="s">
        <v>680</v>
      </c>
      <c r="I30" s="230"/>
      <c r="J30" s="230" t="s">
        <v>322</v>
      </c>
      <c r="K30" s="238" t="s">
        <v>649</v>
      </c>
      <c r="L30" s="266" t="str">
        <f>IFERROR(__xludf.DUMMYFUNCTION("IF(COUNTBLANK(B30)&gt;0, """", IFERROR(JOIN("", ""&amp;CHAR(10), FILTER(IMPORTRANGE(""https://docs.google.com/spreadsheets/d/1Fgd7GP5RUQxajuAkULlL-NwY6xKNVDzD6d9lnxn5Xks/"", ""IGNORE: Issues/Risks!$E$5:$E$200""), 
ISNUMBER(SEARCH(B30, IMPORTRANGE(""https://docs."&amp;"google.com/spreadsheets/d/1Fgd7GP5RUQxajuAkULlL-NwY6xKNVDzD6d9lnxn5Xks/"", ""IGNORE: Issues/Risks!$J$5:$J$200""))))), ""No Match"")
)"),"No Match")</f>
        <v>No Match</v>
      </c>
      <c r="M30" s="226"/>
      <c r="N30" s="226"/>
      <c r="O30" s="226"/>
      <c r="P30" s="226"/>
      <c r="Q30" s="271"/>
      <c r="R30" s="268"/>
      <c r="S30" s="268"/>
    </row>
    <row r="31" ht="31.5" customHeight="1" outlineLevel="1">
      <c r="A31" s="259"/>
      <c r="B31" s="228" t="s">
        <v>681</v>
      </c>
      <c r="C31" s="286" t="s">
        <v>682</v>
      </c>
      <c r="D31" s="230" t="s">
        <v>323</v>
      </c>
      <c r="E31" s="231" t="s">
        <v>588</v>
      </c>
      <c r="F31" s="232" t="s">
        <v>363</v>
      </c>
      <c r="G31" s="270" t="s">
        <v>281</v>
      </c>
      <c r="H31" s="230" t="s">
        <v>162</v>
      </c>
      <c r="I31" s="230"/>
      <c r="J31" s="230" t="s">
        <v>322</v>
      </c>
      <c r="K31" s="238" t="s">
        <v>649</v>
      </c>
      <c r="L31" s="263" t="str">
        <f>IFERROR(__xludf.DUMMYFUNCTION("IF(COUNTBLANK(B31)&gt;0, """", IFERROR(JOIN("", ""&amp;CHAR(10), FILTER(IMPORTRANGE(""https://docs.google.com/spreadsheets/d/1Fgd7GP5RUQxajuAkULlL-NwY6xKNVDzD6d9lnxn5Xks/"", ""IGNORE: Issues/Risks!$E$5:$E$200""), 
ISNUMBER(SEARCH(B31, IMPORTRANGE(""https://docs."&amp;"google.com/spreadsheets/d/1Fgd7GP5RUQxajuAkULlL-NwY6xKNVDzD6d9lnxn5Xks/"", ""IGNORE: Issues/Risks!$J$5:$J$200""))))), ""No Match"")
)"),"No Match")</f>
        <v>No Match</v>
      </c>
      <c r="M31" s="226"/>
      <c r="N31" s="226"/>
      <c r="O31" s="226"/>
      <c r="P31" s="226"/>
      <c r="Q31" s="271"/>
      <c r="R31" s="268"/>
      <c r="S31" s="268"/>
    </row>
    <row r="32" ht="31.5" customHeight="1" outlineLevel="1">
      <c r="A32" s="259"/>
      <c r="B32" s="228" t="s">
        <v>683</v>
      </c>
      <c r="C32" s="286" t="s">
        <v>684</v>
      </c>
      <c r="D32" s="230" t="s">
        <v>323</v>
      </c>
      <c r="E32" s="231" t="s">
        <v>588</v>
      </c>
      <c r="F32" s="232" t="s">
        <v>363</v>
      </c>
      <c r="G32" s="270" t="s">
        <v>281</v>
      </c>
      <c r="H32" s="230" t="s">
        <v>685</v>
      </c>
      <c r="I32" s="230"/>
      <c r="J32" s="230" t="s">
        <v>322</v>
      </c>
      <c r="K32" s="238" t="s">
        <v>649</v>
      </c>
      <c r="L32" s="266" t="str">
        <f>IFERROR(__xludf.DUMMYFUNCTION("IF(COUNTBLANK(B32)&gt;0, """", IFERROR(JOIN("", ""&amp;CHAR(10), FILTER(IMPORTRANGE(""https://docs.google.com/spreadsheets/d/1Fgd7GP5RUQxajuAkULlL-NwY6xKNVDzD6d9lnxn5Xks/"", ""IGNORE: Issues/Risks!$E$5:$E$200""), 
ISNUMBER(SEARCH(B32, IMPORTRANGE(""https://docs."&amp;"google.com/spreadsheets/d/1Fgd7GP5RUQxajuAkULlL-NwY6xKNVDzD6d9lnxn5Xks/"", ""IGNORE: Issues/Risks!$J$5:$J$200""))))), ""No Match"")
)"),"No Match")</f>
        <v>No Match</v>
      </c>
      <c r="M32" s="226"/>
      <c r="N32" s="226"/>
      <c r="O32" s="226"/>
      <c r="P32" s="226"/>
      <c r="Q32" s="271"/>
      <c r="R32" s="268"/>
      <c r="S32" s="268"/>
    </row>
    <row r="33" ht="31.5" customHeight="1" outlineLevel="1">
      <c r="A33" s="259"/>
      <c r="B33" s="287"/>
      <c r="C33" s="288"/>
      <c r="D33" s="241"/>
      <c r="E33" s="289"/>
      <c r="F33" s="289"/>
      <c r="G33" s="289"/>
      <c r="H33" s="290"/>
      <c r="I33" s="290"/>
      <c r="J33" s="290"/>
      <c r="K33" s="291"/>
      <c r="L33" s="277" t="str">
        <f>IFERROR(__xludf.DUMMYFUNCTION("IF(COUNTBLANK(B33)&gt;0, """", IFERROR(JOIN("", ""&amp;CHAR(10), FILTER(IMPORTRANGE(""https://docs.google.com/spreadsheets/d/1Fgd7GP5RUQxajuAkULlL-NwY6xKNVDzD6d9lnxn5Xks/"", ""IGNORE: Issues/Risks!$E$5:$E$200""), 
ISNUMBER(SEARCH(B33, IMPORTRANGE(""https://docs."&amp;"google.com/spreadsheets/d/1Fgd7GP5RUQxajuAkULlL-NwY6xKNVDzD6d9lnxn5Xks/"", ""IGNORE: Issues/Risks!$J$5:$J$200""))))), ""No Match"")
)"),"")</f>
        <v/>
      </c>
      <c r="M33" s="247"/>
      <c r="N33" s="247"/>
      <c r="O33" s="247"/>
      <c r="P33" s="247"/>
      <c r="Q33" s="292"/>
      <c r="R33" s="292"/>
      <c r="S33" s="292"/>
    </row>
    <row r="34" ht="31.5" customHeight="1">
      <c r="A34" s="248" t="s">
        <v>381</v>
      </c>
      <c r="B34" s="249" t="s">
        <v>686</v>
      </c>
      <c r="C34" s="293" t="s">
        <v>687</v>
      </c>
      <c r="D34" s="251" t="s">
        <v>321</v>
      </c>
      <c r="E34" s="282" t="s">
        <v>588</v>
      </c>
      <c r="F34" s="254" t="s">
        <v>366</v>
      </c>
      <c r="G34" s="282" t="s">
        <v>628</v>
      </c>
      <c r="H34" s="251" t="s">
        <v>688</v>
      </c>
      <c r="I34" s="251"/>
      <c r="J34" s="251" t="s">
        <v>322</v>
      </c>
      <c r="K34" s="294" t="s">
        <v>689</v>
      </c>
      <c r="L34" s="256" t="str">
        <f>IFERROR(__xludf.DUMMYFUNCTION("IF(COUNTBLANK(B34)&gt;0, """", IFERROR(JOIN("", ""&amp;CHAR(10), FILTER(IMPORTRANGE(""https://docs.google.com/spreadsheets/d/1Fgd7GP5RUQxajuAkULlL-NwY6xKNVDzD6d9lnxn5Xks/"", ""IGNORE: Issues/Risks!$E$5:$E$200""), 
ISNUMBER(SEARCH(B34, IMPORTRANGE(""https://docs."&amp;"google.com/spreadsheets/d/1Fgd7GP5RUQxajuAkULlL-NwY6xKNVDzD6d9lnxn5Xks/"", ""IGNORE: Issues/Risks!$J$5:$J$200""))))), ""No Match"")
)"),"No Match")</f>
        <v>No Match</v>
      </c>
      <c r="M34" s="226">
        <f>IFERROR(__xludf.DUMMYFUNCTION("MIN(
  ARRAYFORMULA(
    IFERROR(
      VLOOKUP(
        TRANSPOSE(ARRAYFORMULA(SPLIT(K34, CHAR(10)))),
        {Capabilities!$E:$E, Capabilities!P:P},
        2,
        FALSE
      ) * 1,
      9999999
    )
  )
)"),45901.0)</f>
        <v>45901</v>
      </c>
      <c r="N34" s="226">
        <f>IFERROR(__xludf.DUMMYFUNCTION("MAX(
  ARRAYFORMULA(
    IFERROR(
      VLOOKUP(
        TRANSPOSE(ARRAYFORMULA(SPLIT(K34, CHAR(10)))),
        {Capabilities!$E:$E, Capabilities!Q:Q},
        2,
        FALSE
      ) * 1,
      0
    )
  )
)"),46113.0)</f>
        <v>46113</v>
      </c>
      <c r="O34" s="226">
        <f>IFERROR(__xludf.DUMMYFUNCTION("MAX(
  ARRAYFORMULA(
    IFERROR(
      VLOOKUP(
        TRANSPOSE(ARRAYFORMULA(SPLIT(K34, CHAR(10)))),
        {Capabilities!$E:$E, Capabilities!R:R},
        2,
        FALSE
      ) * 1,
      0
    )
  )
)"),46204.0)</f>
        <v>46204</v>
      </c>
      <c r="P34" s="226">
        <f>IFERROR(__xludf.DUMMYFUNCTION("MAX(
  ARRAYFORMULA(
    IFERROR(
      VLOOKUP(
        TRANSPOSE(ARRAYFORMULA(SPLIT(K34, CHAR(10)))),
        {Capabilities!$E:$E, Capabilities!S:S},
        2,
        FALSE
      ) * 1,
      0
    )
  )
)"),46296.0)</f>
        <v>46296</v>
      </c>
      <c r="Q34" s="295"/>
      <c r="R34" s="258"/>
      <c r="S34" s="258"/>
    </row>
    <row r="35" ht="31.5" customHeight="1" outlineLevel="1">
      <c r="A35" s="259"/>
      <c r="B35" s="228" t="s">
        <v>690</v>
      </c>
      <c r="C35" s="286" t="s">
        <v>691</v>
      </c>
      <c r="D35" s="230" t="s">
        <v>338</v>
      </c>
      <c r="E35" s="270" t="s">
        <v>692</v>
      </c>
      <c r="F35" s="232" t="s">
        <v>366</v>
      </c>
      <c r="G35" s="270" t="s">
        <v>693</v>
      </c>
      <c r="H35" s="230" t="s">
        <v>694</v>
      </c>
      <c r="I35" s="230"/>
      <c r="J35" s="230" t="s">
        <v>340</v>
      </c>
      <c r="K35" s="238" t="s">
        <v>101</v>
      </c>
      <c r="L35" s="263" t="str">
        <f>IFERROR(__xludf.DUMMYFUNCTION("IF(COUNTBLANK(B35)&gt;0, """", IFERROR(JOIN("", ""&amp;CHAR(10), FILTER(IMPORTRANGE(""https://docs.google.com/spreadsheets/d/1Fgd7GP5RUQxajuAkULlL-NwY6xKNVDzD6d9lnxn5Xks/"", ""IGNORE: Issues/Risks!$E$5:$E$200""), 
ISNUMBER(SEARCH(B35, IMPORTRANGE(""https://docs."&amp;"google.com/spreadsheets/d/1Fgd7GP5RUQxajuAkULlL-NwY6xKNVDzD6d9lnxn5Xks/"", ""IGNORE: Issues/Risks!$J$5:$J$200""))))), ""No Match"")
)"),"No Match")</f>
        <v>No Match</v>
      </c>
      <c r="M35" s="226"/>
      <c r="N35" s="226"/>
      <c r="O35" s="226"/>
      <c r="P35" s="226"/>
      <c r="Q35" s="271"/>
      <c r="R35" s="268"/>
      <c r="S35" s="268"/>
    </row>
    <row r="36" ht="31.5" customHeight="1" outlineLevel="1">
      <c r="A36" s="259"/>
      <c r="B36" s="228" t="s">
        <v>695</v>
      </c>
      <c r="C36" s="286" t="s">
        <v>696</v>
      </c>
      <c r="D36" s="230" t="s">
        <v>323</v>
      </c>
      <c r="E36" s="231" t="s">
        <v>588</v>
      </c>
      <c r="F36" s="232" t="s">
        <v>366</v>
      </c>
      <c r="G36" s="270" t="s">
        <v>628</v>
      </c>
      <c r="H36" s="230" t="s">
        <v>697</v>
      </c>
      <c r="I36" s="230"/>
      <c r="J36" s="230" t="s">
        <v>322</v>
      </c>
      <c r="K36" s="238" t="s">
        <v>698</v>
      </c>
      <c r="L36" s="266" t="str">
        <f>IFERROR(__xludf.DUMMYFUNCTION("IF(COUNTBLANK(B36)&gt;0, """", IFERROR(JOIN("", ""&amp;CHAR(10), FILTER(IMPORTRANGE(""https://docs.google.com/spreadsheets/d/1Fgd7GP5RUQxajuAkULlL-NwY6xKNVDzD6d9lnxn5Xks/"", ""IGNORE: Issues/Risks!$E$5:$E$200""), 
ISNUMBER(SEARCH(B36, IMPORTRANGE(""https://docs."&amp;"google.com/spreadsheets/d/1Fgd7GP5RUQxajuAkULlL-NwY6xKNVDzD6d9lnxn5Xks/"", ""IGNORE: Issues/Risks!$J$5:$J$200""))))), ""No Match"")
)"),"")</f>
        <v/>
      </c>
      <c r="M36" s="226">
        <f>IFERROR(__xludf.DUMMYFUNCTION("MIN(
  ARRAYFORMULA(
    IFERROR(
      VLOOKUP(
        TRANSPOSE(ARRAYFORMULA(SPLIT(K36, CHAR(10)))),
        {Capabilities!$E:$E, Capabilities!P:P},
        2,
        FALSE
      ) * 1,
      9999999
    )
  )
)"),46023.0)</f>
        <v>46023</v>
      </c>
      <c r="N36" s="226">
        <f>IFERROR(__xludf.DUMMYFUNCTION("MAX(
  ARRAYFORMULA(
    IFERROR(
      VLOOKUP(
        TRANSPOSE(ARRAYFORMULA(SPLIT(K36, CHAR(10)))),
        {Capabilities!$E:$E, Capabilities!Q:Q},
        2,
        FALSE
      ) * 1,
      0
    )
  )
)"),46113.0)</f>
        <v>46113</v>
      </c>
      <c r="O36" s="226">
        <f>IFERROR(__xludf.DUMMYFUNCTION("MAX(
  ARRAYFORMULA(
    IFERROR(
      VLOOKUP(
        TRANSPOSE(ARRAYFORMULA(SPLIT(K36, CHAR(10)))),
        {Capabilities!$E:$E, Capabilities!R:R},
        2,
        FALSE
      ) * 1,
      0
    )
  )
)"),46204.0)</f>
        <v>46204</v>
      </c>
      <c r="P36" s="226">
        <f>IFERROR(__xludf.DUMMYFUNCTION("MAX(
  ARRAYFORMULA(
    IFERROR(
      VLOOKUP(
        TRANSPOSE(ARRAYFORMULA(SPLIT(K36, CHAR(10)))),
        {Capabilities!$E:$E, Capabilities!S:S},
        2,
        FALSE
      ) * 1,
      0
    )
  )
)"),46296.0)</f>
        <v>46296</v>
      </c>
      <c r="Q36" s="271"/>
      <c r="R36" s="268"/>
      <c r="S36" s="268"/>
    </row>
    <row r="37" ht="31.5" customHeight="1" outlineLevel="1">
      <c r="A37" s="259"/>
      <c r="B37" s="228" t="s">
        <v>699</v>
      </c>
      <c r="C37" s="286" t="s">
        <v>700</v>
      </c>
      <c r="D37" s="230" t="s">
        <v>323</v>
      </c>
      <c r="E37" s="231" t="s">
        <v>588</v>
      </c>
      <c r="F37" s="232" t="s">
        <v>366</v>
      </c>
      <c r="G37" s="270" t="s">
        <v>628</v>
      </c>
      <c r="H37" s="230" t="s">
        <v>701</v>
      </c>
      <c r="I37" s="230"/>
      <c r="J37" s="230" t="s">
        <v>322</v>
      </c>
      <c r="K37" s="238" t="s">
        <v>702</v>
      </c>
      <c r="L37" s="263" t="str">
        <f>IFERROR(__xludf.DUMMYFUNCTION("IF(COUNTBLANK(B37)&gt;0, """", IFERROR(JOIN("", ""&amp;CHAR(10), FILTER(IMPORTRANGE(""https://docs.google.com/spreadsheets/d/1Fgd7GP5RUQxajuAkULlL-NwY6xKNVDzD6d9lnxn5Xks/"", ""IGNORE: Issues/Risks!$E$5:$E$200""), 
ISNUMBER(SEARCH(B37, IMPORTRANGE(""https://docs."&amp;"google.com/spreadsheets/d/1Fgd7GP5RUQxajuAkULlL-NwY6xKNVDzD6d9lnxn5Xks/"", ""IGNORE: Issues/Risks!$J$5:$J$200""))))), ""No Match"")
)"),"")</f>
        <v/>
      </c>
      <c r="M37" s="226">
        <f>IFERROR(__xludf.DUMMYFUNCTION("MIN(
  ARRAYFORMULA(
    IFERROR(
      VLOOKUP(
        TRANSPOSE(ARRAYFORMULA(SPLIT(K37, CHAR(10)))),
        {Capabilities!$E:$E, Capabilities!P:P},
        2,
        FALSE
      ) * 1,
      9999999
    )
  )
)"),46023.0)</f>
        <v>46023</v>
      </c>
      <c r="N37" s="226">
        <f>IFERROR(__xludf.DUMMYFUNCTION("MAX(
  ARRAYFORMULA(
    IFERROR(
      VLOOKUP(
        TRANSPOSE(ARRAYFORMULA(SPLIT(K37, CHAR(10)))),
        {Capabilities!$E:$E, Capabilities!Q:Q},
        2,
        FALSE
      ) * 1,
      0
    )
  )
)"),45962.0)</f>
        <v>45962</v>
      </c>
      <c r="O37" s="226">
        <f>IFERROR(__xludf.DUMMYFUNCTION("MAX(
  ARRAYFORMULA(
    IFERROR(
      VLOOKUP(
        TRANSPOSE(ARRAYFORMULA(SPLIT(K37, CHAR(10)))),
        {Capabilities!$E:$E, Capabilities!R:R},
        2,
        FALSE
      ) * 1,
      0
    )
  )
)"),46023.0)</f>
        <v>46023</v>
      </c>
      <c r="P37" s="226">
        <f>IFERROR(__xludf.DUMMYFUNCTION("MAX(
  ARRAYFORMULA(
    IFERROR(
      VLOOKUP(
        TRANSPOSE(ARRAYFORMULA(SPLIT(K37, CHAR(10)))),
        {Capabilities!$E:$E, Capabilities!S:S},
        2,
        FALSE
      ) * 1,
      0
    )
  )
)"),46296.0)</f>
        <v>46296</v>
      </c>
      <c r="Q37" s="271"/>
      <c r="R37" s="268"/>
      <c r="S37" s="268"/>
    </row>
    <row r="38" ht="31.5" customHeight="1" outlineLevel="1">
      <c r="A38" s="259"/>
      <c r="B38" s="228" t="s">
        <v>703</v>
      </c>
      <c r="C38" s="286" t="s">
        <v>704</v>
      </c>
      <c r="D38" s="230" t="s">
        <v>323</v>
      </c>
      <c r="E38" s="231" t="s">
        <v>588</v>
      </c>
      <c r="F38" s="232" t="s">
        <v>366</v>
      </c>
      <c r="G38" s="270" t="s">
        <v>628</v>
      </c>
      <c r="H38" s="230" t="s">
        <v>705</v>
      </c>
      <c r="I38" s="230"/>
      <c r="J38" s="230" t="s">
        <v>322</v>
      </c>
      <c r="K38" s="238" t="s">
        <v>649</v>
      </c>
      <c r="L38" s="266" t="str">
        <f>IFERROR(__xludf.DUMMYFUNCTION("IF(COUNTBLANK(B38)&gt;0, """", IFERROR(JOIN("", ""&amp;CHAR(10), FILTER(IMPORTRANGE(""https://docs.google.com/spreadsheets/d/1Fgd7GP5RUQxajuAkULlL-NwY6xKNVDzD6d9lnxn5Xks/"", ""IGNORE: Issues/Risks!$E$5:$E$200""), 
ISNUMBER(SEARCH(B38, IMPORTRANGE(""https://docs."&amp;"google.com/spreadsheets/d/1Fgd7GP5RUQxajuAkULlL-NwY6xKNVDzD6d9lnxn5Xks/"", ""IGNORE: Issues/Risks!$J$5:$J$200""))))), ""No Match"")
)"),"No Match")</f>
        <v>No Match</v>
      </c>
      <c r="M38" s="226"/>
      <c r="N38" s="226"/>
      <c r="O38" s="226"/>
      <c r="P38" s="226"/>
      <c r="Q38" s="271"/>
      <c r="R38" s="268"/>
      <c r="S38" s="268"/>
    </row>
    <row r="39" ht="31.5" customHeight="1" outlineLevel="1">
      <c r="A39" s="259"/>
      <c r="B39" s="228" t="s">
        <v>706</v>
      </c>
      <c r="C39" s="286" t="s">
        <v>707</v>
      </c>
      <c r="D39" s="230" t="s">
        <v>323</v>
      </c>
      <c r="E39" s="231" t="s">
        <v>588</v>
      </c>
      <c r="F39" s="232" t="s">
        <v>366</v>
      </c>
      <c r="G39" s="270" t="s">
        <v>628</v>
      </c>
      <c r="H39" s="230" t="s">
        <v>708</v>
      </c>
      <c r="I39" s="230"/>
      <c r="J39" s="230" t="s">
        <v>322</v>
      </c>
      <c r="K39" s="238" t="s">
        <v>709</v>
      </c>
      <c r="L39" s="263" t="str">
        <f>IFERROR(__xludf.DUMMYFUNCTION("IF(COUNTBLANK(B39)&gt;0, """", IFERROR(JOIN("", ""&amp;CHAR(10), FILTER(IMPORTRANGE(""https://docs.google.com/spreadsheets/d/1Fgd7GP5RUQxajuAkULlL-NwY6xKNVDzD6d9lnxn5Xks/"", ""IGNORE: Issues/Risks!$E$5:$E$200""), 
ISNUMBER(SEARCH(B39, IMPORTRANGE(""https://docs."&amp;"google.com/spreadsheets/d/1Fgd7GP5RUQxajuAkULlL-NwY6xKNVDzD6d9lnxn5Xks/"", ""IGNORE: Issues/Risks!$J$5:$J$200""))))), ""No Match"")
)"),"No Match")</f>
        <v>No Match</v>
      </c>
      <c r="M39" s="226">
        <f>IFERROR(__xludf.DUMMYFUNCTION("MIN(
  ARRAYFORMULA(
    IFERROR(
      VLOOKUP(
        TRANSPOSE(ARRAYFORMULA(SPLIT(K39, CHAR(10)))),
        {Capabilities!$E:$E, Capabilities!P:P},
        2,
        FALSE
      ) * 1,
      9999999
    )
  )
)"),45901.0)</f>
        <v>45901</v>
      </c>
      <c r="N39" s="226">
        <f>IFERROR(__xludf.DUMMYFUNCTION("MAX(
  ARRAYFORMULA(
    IFERROR(
      VLOOKUP(
        TRANSPOSE(ARRAYFORMULA(SPLIT(K39, CHAR(10)))),
        {Capabilities!$E:$E, Capabilities!Q:Q},
        2,
        FALSE
      ) * 1,
      0
    )
  )
)"),46023.0)</f>
        <v>46023</v>
      </c>
      <c r="O39" s="226">
        <f>IFERROR(__xludf.DUMMYFUNCTION("MAX(
  ARRAYFORMULA(
    IFERROR(
      VLOOKUP(
        TRANSPOSE(ARRAYFORMULA(SPLIT(K39, CHAR(10)))),
        {Capabilities!$E:$E, Capabilities!R:R},
        2,
        FALSE
      ) * 1,
      0
    )
  )
)"),46204.0)</f>
        <v>46204</v>
      </c>
      <c r="P39" s="226">
        <f>IFERROR(__xludf.DUMMYFUNCTION("MAX(
  ARRAYFORMULA(
    IFERROR(
      VLOOKUP(
        TRANSPOSE(ARRAYFORMULA(SPLIT(K39, CHAR(10)))),
        {Capabilities!$E:$E, Capabilities!S:S},
        2,
        FALSE
      ) * 1,
      0
    )
  )
)"),46296.0)</f>
        <v>46296</v>
      </c>
      <c r="Q39" s="271"/>
      <c r="R39" s="268"/>
      <c r="S39" s="268"/>
    </row>
    <row r="40" ht="31.5" customHeight="1" outlineLevel="1">
      <c r="A40" s="259"/>
      <c r="B40" s="228" t="s">
        <v>710</v>
      </c>
      <c r="C40" s="286" t="s">
        <v>711</v>
      </c>
      <c r="D40" s="230" t="s">
        <v>338</v>
      </c>
      <c r="E40" s="231" t="s">
        <v>588</v>
      </c>
      <c r="F40" s="232" t="s">
        <v>366</v>
      </c>
      <c r="G40" s="270" t="s">
        <v>693</v>
      </c>
      <c r="H40" s="230"/>
      <c r="I40" s="230"/>
      <c r="J40" s="230" t="s">
        <v>340</v>
      </c>
      <c r="K40" s="238" t="s">
        <v>101</v>
      </c>
      <c r="L40" s="266" t="str">
        <f>IFERROR(__xludf.DUMMYFUNCTION("IF(COUNTBLANK(B40)&gt;0, """", IFERROR(JOIN("", ""&amp;CHAR(10), FILTER(IMPORTRANGE(""https://docs.google.com/spreadsheets/d/1Fgd7GP5RUQxajuAkULlL-NwY6xKNVDzD6d9lnxn5Xks/"", ""IGNORE: Issues/Risks!$E$5:$E$200""), 
ISNUMBER(SEARCH(B40, IMPORTRANGE(""https://docs."&amp;"google.com/spreadsheets/d/1Fgd7GP5RUQxajuAkULlL-NwY6xKNVDzD6d9lnxn5Xks/"", ""IGNORE: Issues/Risks!$J$5:$J$200""))))), ""No Match"")
)"),"No Match")</f>
        <v>No Match</v>
      </c>
      <c r="M40" s="226"/>
      <c r="N40" s="226"/>
      <c r="O40" s="226"/>
      <c r="P40" s="226"/>
      <c r="Q40" s="271"/>
      <c r="R40" s="268"/>
      <c r="S40" s="268"/>
    </row>
    <row r="41" ht="31.5" customHeight="1" outlineLevel="1">
      <c r="A41" s="259"/>
      <c r="B41" s="228" t="s">
        <v>712</v>
      </c>
      <c r="C41" s="286" t="s">
        <v>713</v>
      </c>
      <c r="D41" s="230" t="s">
        <v>323</v>
      </c>
      <c r="E41" s="231" t="s">
        <v>588</v>
      </c>
      <c r="F41" s="232" t="s">
        <v>366</v>
      </c>
      <c r="G41" s="270" t="s">
        <v>628</v>
      </c>
      <c r="H41" s="230" t="s">
        <v>714</v>
      </c>
      <c r="I41" s="230"/>
      <c r="J41" s="230" t="s">
        <v>322</v>
      </c>
      <c r="K41" s="238" t="s">
        <v>649</v>
      </c>
      <c r="L41" s="263" t="str">
        <f>IFERROR(__xludf.DUMMYFUNCTION("IF(COUNTBLANK(B41)&gt;0, """", IFERROR(JOIN("", ""&amp;CHAR(10), FILTER(IMPORTRANGE(""https://docs.google.com/spreadsheets/d/1Fgd7GP5RUQxajuAkULlL-NwY6xKNVDzD6d9lnxn5Xks/"", ""IGNORE: Issues/Risks!$E$5:$E$200""), 
ISNUMBER(SEARCH(B41, IMPORTRANGE(""https://docs."&amp;"google.com/spreadsheets/d/1Fgd7GP5RUQxajuAkULlL-NwY6xKNVDzD6d9lnxn5Xks/"", ""IGNORE: Issues/Risks!$J$5:$J$200""))))), ""No Match"")
)"),"")</f>
        <v/>
      </c>
      <c r="M41" s="226"/>
      <c r="N41" s="226"/>
      <c r="O41" s="226"/>
      <c r="P41" s="226"/>
      <c r="Q41" s="271"/>
      <c r="R41" s="268"/>
      <c r="S41" s="268"/>
    </row>
    <row r="42" ht="31.5" customHeight="1" outlineLevel="1">
      <c r="A42" s="259"/>
      <c r="B42" s="228" t="s">
        <v>715</v>
      </c>
      <c r="C42" s="286" t="s">
        <v>716</v>
      </c>
      <c r="D42" s="230" t="s">
        <v>323</v>
      </c>
      <c r="E42" s="296" t="s">
        <v>588</v>
      </c>
      <c r="F42" s="232" t="s">
        <v>366</v>
      </c>
      <c r="G42" s="297" t="s">
        <v>628</v>
      </c>
      <c r="H42" s="230" t="s">
        <v>714</v>
      </c>
      <c r="I42" s="230"/>
      <c r="J42" s="230" t="s">
        <v>322</v>
      </c>
      <c r="K42" s="238" t="s">
        <v>717</v>
      </c>
      <c r="L42" s="266" t="str">
        <f>IFERROR(__xludf.DUMMYFUNCTION("IF(COUNTBLANK(B42)&gt;0, """", IFERROR(JOIN("", ""&amp;CHAR(10), FILTER(IMPORTRANGE(""https://docs.google.com/spreadsheets/d/1Fgd7GP5RUQxajuAkULlL-NwY6xKNVDzD6d9lnxn5Xks/"", ""IGNORE: Issues/Risks!$E$5:$E$200""), 
ISNUMBER(SEARCH(B42, IMPORTRANGE(""https://docs."&amp;"google.com/spreadsheets/d/1Fgd7GP5RUQxajuAkULlL-NwY6xKNVDzD6d9lnxn5Xks/"", ""IGNORE: Issues/Risks!$J$5:$J$200""))))), ""No Match"")
)"),"")</f>
        <v/>
      </c>
      <c r="M42" s="226">
        <f>IFERROR(__xludf.DUMMYFUNCTION("MIN(
  ARRAYFORMULA(
    IFERROR(
      VLOOKUP(
        TRANSPOSE(ARRAYFORMULA(SPLIT(K42, CHAR(10)))),
        {Capabilities!$E:$E, Capabilities!P:P},
        2,
        FALSE
      ) * 1,
      9999999
    )
  )
)"),45901.0)</f>
        <v>45901</v>
      </c>
      <c r="N42" s="226">
        <f>IFERROR(__xludf.DUMMYFUNCTION("MAX(
  ARRAYFORMULA(
    IFERROR(
      VLOOKUP(
        TRANSPOSE(ARRAYFORMULA(SPLIT(K42, CHAR(10)))),
        {Capabilities!$E:$E, Capabilities!Q:Q},
        2,
        FALSE
      ) * 1,
      0
    )
  )
)"),46023.0)</f>
        <v>46023</v>
      </c>
      <c r="O42" s="226">
        <f>IFERROR(__xludf.DUMMYFUNCTION("MAX(
  ARRAYFORMULA(
    IFERROR(
      VLOOKUP(
        TRANSPOSE(ARRAYFORMULA(SPLIT(K42, CHAR(10)))),
        {Capabilities!$E:$E, Capabilities!R:R},
        2,
        FALSE
      ) * 1,
      0
    )
  )
)"),46204.0)</f>
        <v>46204</v>
      </c>
      <c r="P42" s="226">
        <f>IFERROR(__xludf.DUMMYFUNCTION("MAX(
  ARRAYFORMULA(
    IFERROR(
      VLOOKUP(
        TRANSPOSE(ARRAYFORMULA(SPLIT(K42, CHAR(10)))),
        {Capabilities!$E:$E, Capabilities!S:S},
        2,
        FALSE
      ) * 1,
      0
    )
  )
)"),46296.0)</f>
        <v>46296</v>
      </c>
      <c r="Q42" s="271"/>
      <c r="R42" s="268"/>
      <c r="S42" s="268"/>
    </row>
    <row r="43" ht="31.5" customHeight="1" outlineLevel="1">
      <c r="A43" s="259"/>
      <c r="B43" s="228" t="s">
        <v>718</v>
      </c>
      <c r="C43" s="286" t="s">
        <v>719</v>
      </c>
      <c r="D43" s="230" t="s">
        <v>323</v>
      </c>
      <c r="E43" s="231" t="s">
        <v>588</v>
      </c>
      <c r="F43" s="232" t="s">
        <v>366</v>
      </c>
      <c r="G43" s="270" t="s">
        <v>628</v>
      </c>
      <c r="H43" s="230" t="s">
        <v>714</v>
      </c>
      <c r="I43" s="230"/>
      <c r="J43" s="230" t="s">
        <v>340</v>
      </c>
      <c r="K43" s="238" t="s">
        <v>717</v>
      </c>
      <c r="L43" s="263" t="str">
        <f>IFERROR(__xludf.DUMMYFUNCTION("IF(COUNTBLANK(B43)&gt;0, """", IFERROR(JOIN("", ""&amp;CHAR(10), FILTER(IMPORTRANGE(""https://docs.google.com/spreadsheets/d/1Fgd7GP5RUQxajuAkULlL-NwY6xKNVDzD6d9lnxn5Xks/"", ""IGNORE: Issues/Risks!$E$5:$E$200""), 
ISNUMBER(SEARCH(B43, IMPORTRANGE(""https://docs."&amp;"google.com/spreadsheets/d/1Fgd7GP5RUQxajuAkULlL-NwY6xKNVDzD6d9lnxn5Xks/"", ""IGNORE: Issues/Risks!$J$5:$J$200""))))), ""No Match"")
)"),"")</f>
        <v/>
      </c>
      <c r="M43" s="226">
        <f>IFERROR(__xludf.DUMMYFUNCTION("MIN(
  ARRAYFORMULA(
    IFERROR(
      VLOOKUP(
        TRANSPOSE(ARRAYFORMULA(SPLIT(K43, CHAR(10)))),
        {Capabilities!$E:$E, Capabilities!P:P},
        2,
        FALSE
      ) * 1,
      9999999
    )
  )
)"),45901.0)</f>
        <v>45901</v>
      </c>
      <c r="N43" s="226">
        <f>IFERROR(__xludf.DUMMYFUNCTION("MAX(
  ARRAYFORMULA(
    IFERROR(
      VLOOKUP(
        TRANSPOSE(ARRAYFORMULA(SPLIT(K43, CHAR(10)))),
        {Capabilities!$E:$E, Capabilities!Q:Q},
        2,
        FALSE
      ) * 1,
      0
    )
  )
)"),46023.0)</f>
        <v>46023</v>
      </c>
      <c r="O43" s="226">
        <f>IFERROR(__xludf.DUMMYFUNCTION("MAX(
  ARRAYFORMULA(
    IFERROR(
      VLOOKUP(
        TRANSPOSE(ARRAYFORMULA(SPLIT(K43, CHAR(10)))),
        {Capabilities!$E:$E, Capabilities!R:R},
        2,
        FALSE
      ) * 1,
      0
    )
  )
)"),46204.0)</f>
        <v>46204</v>
      </c>
      <c r="P43" s="226">
        <f>IFERROR(__xludf.DUMMYFUNCTION("MAX(
  ARRAYFORMULA(
    IFERROR(
      VLOOKUP(
        TRANSPOSE(ARRAYFORMULA(SPLIT(K43, CHAR(10)))),
        {Capabilities!$E:$E, Capabilities!S:S},
        2,
        FALSE
      ) * 1,
      0
    )
  )
)"),46296.0)</f>
        <v>46296</v>
      </c>
      <c r="Q43" s="271"/>
      <c r="R43" s="268"/>
      <c r="S43" s="268"/>
    </row>
    <row r="44" ht="31.5" customHeight="1" outlineLevel="1">
      <c r="A44" s="259"/>
      <c r="B44" s="228" t="s">
        <v>720</v>
      </c>
      <c r="C44" s="286" t="s">
        <v>721</v>
      </c>
      <c r="D44" s="230" t="s">
        <v>338</v>
      </c>
      <c r="E44" s="270" t="s">
        <v>692</v>
      </c>
      <c r="F44" s="232" t="s">
        <v>366</v>
      </c>
      <c r="G44" s="270" t="s">
        <v>628</v>
      </c>
      <c r="H44" s="230" t="s">
        <v>714</v>
      </c>
      <c r="I44" s="230"/>
      <c r="J44" s="230" t="s">
        <v>322</v>
      </c>
      <c r="K44" s="238" t="s">
        <v>717</v>
      </c>
      <c r="L44" s="266" t="str">
        <f>IFERROR(__xludf.DUMMYFUNCTION("IF(COUNTBLANK(B44)&gt;0, """", IFERROR(JOIN("", ""&amp;CHAR(10), FILTER(IMPORTRANGE(""https://docs.google.com/spreadsheets/d/1Fgd7GP5RUQxajuAkULlL-NwY6xKNVDzD6d9lnxn5Xks/"", ""IGNORE: Issues/Risks!$E$5:$E$200""), 
ISNUMBER(SEARCH(B44, IMPORTRANGE(""https://docs."&amp;"google.com/spreadsheets/d/1Fgd7GP5RUQxajuAkULlL-NwY6xKNVDzD6d9lnxn5Xks/"", ""IGNORE: Issues/Risks!$J$5:$J$200""))))), ""No Match"")
)"),"No Match")</f>
        <v>No Match</v>
      </c>
      <c r="M44" s="226">
        <f>IFERROR(__xludf.DUMMYFUNCTION("MIN(
  ARRAYFORMULA(
    IFERROR(
      VLOOKUP(
        TRANSPOSE(ARRAYFORMULA(SPLIT(K44, CHAR(10)))),
        {Capabilities!$E:$E, Capabilities!P:P},
        2,
        FALSE
      ) * 1,
      9999999
    )
  )
)"),45901.0)</f>
        <v>45901</v>
      </c>
      <c r="N44" s="226">
        <f>IFERROR(__xludf.DUMMYFUNCTION("MAX(
  ARRAYFORMULA(
    IFERROR(
      VLOOKUP(
        TRANSPOSE(ARRAYFORMULA(SPLIT(K44, CHAR(10)))),
        {Capabilities!$E:$E, Capabilities!Q:Q},
        2,
        FALSE
      ) * 1,
      0
    )
  )
)"),46023.0)</f>
        <v>46023</v>
      </c>
      <c r="O44" s="226">
        <f>IFERROR(__xludf.DUMMYFUNCTION("MAX(
  ARRAYFORMULA(
    IFERROR(
      VLOOKUP(
        TRANSPOSE(ARRAYFORMULA(SPLIT(K44, CHAR(10)))),
        {Capabilities!$E:$E, Capabilities!R:R},
        2,
        FALSE
      ) * 1,
      0
    )
  )
)"),46204.0)</f>
        <v>46204</v>
      </c>
      <c r="P44" s="226">
        <f>IFERROR(__xludf.DUMMYFUNCTION("MAX(
  ARRAYFORMULA(
    IFERROR(
      VLOOKUP(
        TRANSPOSE(ARRAYFORMULA(SPLIT(K44, CHAR(10)))),
        {Capabilities!$E:$E, Capabilities!S:S},
        2,
        FALSE
      ) * 1,
      0
    )
  )
)"),46296.0)</f>
        <v>46296</v>
      </c>
      <c r="Q44" s="271"/>
      <c r="R44" s="268"/>
      <c r="S44" s="268"/>
    </row>
    <row r="45" ht="31.5" customHeight="1" outlineLevel="1">
      <c r="A45" s="259"/>
      <c r="B45" s="228" t="s">
        <v>722</v>
      </c>
      <c r="C45" s="286" t="s">
        <v>723</v>
      </c>
      <c r="D45" s="230" t="s">
        <v>338</v>
      </c>
      <c r="E45" s="270" t="s">
        <v>692</v>
      </c>
      <c r="F45" s="232" t="s">
        <v>366</v>
      </c>
      <c r="G45" s="270" t="s">
        <v>693</v>
      </c>
      <c r="H45" s="230" t="s">
        <v>724</v>
      </c>
      <c r="I45" s="230"/>
      <c r="J45" s="230" t="s">
        <v>340</v>
      </c>
      <c r="K45" s="238" t="s">
        <v>101</v>
      </c>
      <c r="L45" s="263" t="str">
        <f>IFERROR(__xludf.DUMMYFUNCTION("IF(COUNTBLANK(B45)&gt;0, """", IFERROR(JOIN("", ""&amp;CHAR(10), FILTER(IMPORTRANGE(""https://docs.google.com/spreadsheets/d/1Fgd7GP5RUQxajuAkULlL-NwY6xKNVDzD6d9lnxn5Xks/"", ""IGNORE: Issues/Risks!$E$5:$E$200""), 
ISNUMBER(SEARCH(B45, IMPORTRANGE(""https://docs."&amp;"google.com/spreadsheets/d/1Fgd7GP5RUQxajuAkULlL-NwY6xKNVDzD6d9lnxn5Xks/"", ""IGNORE: Issues/Risks!$J$5:$J$200""))))), ""No Match"")
)"),"No Match")</f>
        <v>No Match</v>
      </c>
      <c r="M45" s="226"/>
      <c r="N45" s="226"/>
      <c r="O45" s="226"/>
      <c r="P45" s="226"/>
      <c r="Q45" s="271"/>
      <c r="R45" s="268"/>
      <c r="S45" s="268"/>
    </row>
    <row r="46" ht="31.5" customHeight="1" outlineLevel="1">
      <c r="A46" s="259"/>
      <c r="B46" s="228" t="s">
        <v>725</v>
      </c>
      <c r="C46" s="286" t="s">
        <v>726</v>
      </c>
      <c r="D46" s="230" t="s">
        <v>338</v>
      </c>
      <c r="E46" s="270" t="s">
        <v>692</v>
      </c>
      <c r="F46" s="232" t="s">
        <v>366</v>
      </c>
      <c r="G46" s="270" t="s">
        <v>693</v>
      </c>
      <c r="H46" s="230" t="s">
        <v>727</v>
      </c>
      <c r="I46" s="230"/>
      <c r="J46" s="230" t="s">
        <v>340</v>
      </c>
      <c r="K46" s="238" t="s">
        <v>101</v>
      </c>
      <c r="L46" s="266" t="str">
        <f>IFERROR(__xludf.DUMMYFUNCTION("IF(COUNTBLANK(B46)&gt;0, """", IFERROR(JOIN("", ""&amp;CHAR(10), FILTER(IMPORTRANGE(""https://docs.google.com/spreadsheets/d/1Fgd7GP5RUQxajuAkULlL-NwY6xKNVDzD6d9lnxn5Xks/"", ""IGNORE: Issues/Risks!$E$5:$E$200""), 
ISNUMBER(SEARCH(B46, IMPORTRANGE(""https://docs."&amp;"google.com/spreadsheets/d/1Fgd7GP5RUQxajuAkULlL-NwY6xKNVDzD6d9lnxn5Xks/"", ""IGNORE: Issues/Risks!$J$5:$J$200""))))), ""No Match"")
)"),"No Match")</f>
        <v>No Match</v>
      </c>
      <c r="M46" s="226"/>
      <c r="N46" s="226"/>
      <c r="O46" s="226"/>
      <c r="P46" s="226"/>
      <c r="Q46" s="271"/>
      <c r="R46" s="268"/>
      <c r="S46" s="268"/>
    </row>
    <row r="47" ht="31.5" customHeight="1" outlineLevel="1">
      <c r="A47" s="259"/>
      <c r="B47" s="298"/>
      <c r="C47" s="299"/>
      <c r="D47" s="241"/>
      <c r="E47" s="299"/>
      <c r="F47" s="290"/>
      <c r="G47" s="299"/>
      <c r="H47" s="290"/>
      <c r="I47" s="290"/>
      <c r="J47" s="290"/>
      <c r="K47" s="291"/>
      <c r="L47" s="277" t="str">
        <f>IFERROR(__xludf.DUMMYFUNCTION("IF(COUNTBLANK(B47)&gt;0, """", IFERROR(JOIN("", ""&amp;CHAR(10), FILTER(IMPORTRANGE(""https://docs.google.com/spreadsheets/d/1Fgd7GP5RUQxajuAkULlL-NwY6xKNVDzD6d9lnxn5Xks/"", ""IGNORE: Issues/Risks!$E$5:$E$200""), 
ISNUMBER(SEARCH(B47, IMPORTRANGE(""https://docs."&amp;"google.com/spreadsheets/d/1Fgd7GP5RUQxajuAkULlL-NwY6xKNVDzD6d9lnxn5Xks/"", ""IGNORE: Issues/Risks!$J$5:$J$200""))))), ""No Match"")
)"),"")</f>
        <v/>
      </c>
      <c r="M47" s="247"/>
      <c r="N47" s="247"/>
      <c r="O47" s="247"/>
      <c r="P47" s="247"/>
      <c r="Q47" s="292"/>
      <c r="R47" s="292"/>
      <c r="S47" s="292"/>
    </row>
    <row r="48" ht="30.75" customHeight="1">
      <c r="A48" s="248" t="s">
        <v>253</v>
      </c>
      <c r="B48" s="300" t="s">
        <v>728</v>
      </c>
      <c r="C48" s="301" t="s">
        <v>729</v>
      </c>
      <c r="D48" s="251" t="s">
        <v>323</v>
      </c>
      <c r="E48" s="252" t="s">
        <v>588</v>
      </c>
      <c r="F48" s="253" t="s">
        <v>366</v>
      </c>
      <c r="G48" s="252" t="s">
        <v>628</v>
      </c>
      <c r="H48" s="302"/>
      <c r="I48" s="302"/>
      <c r="J48" s="253" t="s">
        <v>322</v>
      </c>
      <c r="K48" s="303" t="s">
        <v>101</v>
      </c>
      <c r="L48" s="304" t="str">
        <f>IFERROR(__xludf.DUMMYFUNCTION("IF(COUNTBLANK(B48)&gt;0, """", IFERROR(JOIN("", ""&amp;CHAR(10), FILTER(IMPORTRANGE(""https://docs.google.com/spreadsheets/d/1Fgd7GP5RUQxajuAkULlL-NwY6xKNVDzD6d9lnxn5Xks/"", ""IGNORE: Issues/Risks!$E$5:$E$200""), 
ISNUMBER(SEARCH(B48, IMPORTRANGE(""https://docs."&amp;"google.com/spreadsheets/d/1Fgd7GP5RUQxajuAkULlL-NwY6xKNVDzD6d9lnxn5Xks/"", ""IGNORE: Issues/Risks!$J$5:$J$200""))))), ""No Match"")
)"),"No Match")</f>
        <v>No Match</v>
      </c>
      <c r="M48" s="226"/>
      <c r="N48" s="226"/>
      <c r="O48" s="226"/>
      <c r="P48" s="226"/>
      <c r="Q48" s="305"/>
      <c r="R48" s="306"/>
      <c r="S48" s="306"/>
    </row>
    <row r="49" ht="30.75" customHeight="1" outlineLevel="1">
      <c r="A49" s="259"/>
      <c r="B49" s="307" t="s">
        <v>730</v>
      </c>
      <c r="C49" s="308" t="s">
        <v>731</v>
      </c>
      <c r="D49" s="230" t="s">
        <v>323</v>
      </c>
      <c r="E49" s="231" t="s">
        <v>588</v>
      </c>
      <c r="F49" s="232" t="s">
        <v>366</v>
      </c>
      <c r="G49" s="231" t="s">
        <v>628</v>
      </c>
      <c r="H49" s="309"/>
      <c r="I49" s="309"/>
      <c r="J49" s="310" t="s">
        <v>322</v>
      </c>
      <c r="K49" s="311" t="s">
        <v>101</v>
      </c>
      <c r="L49" s="312" t="str">
        <f>IFERROR(__xludf.DUMMYFUNCTION("IF(COUNTBLANK(B49)&gt;0, """", IFERROR(JOIN("", ""&amp;CHAR(10), FILTER(IMPORTRANGE(""https://docs.google.com/spreadsheets/d/1Fgd7GP5RUQxajuAkULlL-NwY6xKNVDzD6d9lnxn5Xks/"", ""IGNORE: Issues/Risks!$E$5:$E$200""), 
ISNUMBER(SEARCH(B49, IMPORTRANGE(""https://docs."&amp;"google.com/spreadsheets/d/1Fgd7GP5RUQxajuAkULlL-NwY6xKNVDzD6d9lnxn5Xks/"", ""IGNORE: Issues/Risks!$J$5:$J$200""))))), ""No Match"")
)"),"No Match")</f>
        <v>No Match</v>
      </c>
      <c r="M49" s="226"/>
      <c r="N49" s="226"/>
      <c r="O49" s="226"/>
      <c r="P49" s="226"/>
      <c r="Q49" s="313"/>
      <c r="R49" s="314"/>
      <c r="S49" s="314"/>
    </row>
    <row r="50" ht="30.75" customHeight="1" outlineLevel="1">
      <c r="A50" s="259"/>
      <c r="B50" s="315" t="s">
        <v>732</v>
      </c>
      <c r="C50" s="286" t="s">
        <v>733</v>
      </c>
      <c r="D50" s="230" t="s">
        <v>323</v>
      </c>
      <c r="E50" s="231" t="s">
        <v>588</v>
      </c>
      <c r="F50" s="232" t="s">
        <v>366</v>
      </c>
      <c r="G50" s="231" t="s">
        <v>281</v>
      </c>
      <c r="H50" s="316"/>
      <c r="I50" s="316"/>
      <c r="J50" s="232" t="s">
        <v>322</v>
      </c>
      <c r="K50" s="317" t="s">
        <v>734</v>
      </c>
      <c r="L50" s="318" t="str">
        <f>IFERROR(__xludf.DUMMYFUNCTION("IF(COUNTBLANK(B50)&gt;0, """", IFERROR(JOIN("", ""&amp;CHAR(10), FILTER(IMPORTRANGE(""https://docs.google.com/spreadsheets/d/1Fgd7GP5RUQxajuAkULlL-NwY6xKNVDzD6d9lnxn5Xks/"", ""IGNORE: Issues/Risks!$E$5:$E$200""), 
ISNUMBER(SEARCH(B50, IMPORTRANGE(""https://docs."&amp;"google.com/spreadsheets/d/1Fgd7GP5RUQxajuAkULlL-NwY6xKNVDzD6d9lnxn5Xks/"", ""IGNORE: Issues/Risks!$J$5:$J$200""))))), ""No Match"")
)"),"No Match")</f>
        <v>No Match</v>
      </c>
      <c r="M50" s="226">
        <f>IFERROR(__xludf.DUMMYFUNCTION("MIN(
  ARRAYFORMULA(
    IFERROR(
      VLOOKUP(
        TRANSPOSE(ARRAYFORMULA(SPLIT(K50, CHAR(10)))),
        {Capabilities!$E:$E, Capabilities!P:P},
        2,
        FALSE
      ) * 1,
      9999999
    )
  )
)"),45901.0)</f>
        <v>45901</v>
      </c>
      <c r="N50" s="226">
        <f>IFERROR(__xludf.DUMMYFUNCTION("MAX(
  ARRAYFORMULA(
    IFERROR(
      VLOOKUP(
        TRANSPOSE(ARRAYFORMULA(SPLIT(K50, CHAR(10)))),
        {Capabilities!$E:$E, Capabilities!Q:Q},
        2,
        FALSE
      ) * 1,
      0
    )
  )
)"),45962.0)</f>
        <v>45962</v>
      </c>
      <c r="O50" s="226">
        <f>IFERROR(__xludf.DUMMYFUNCTION("MAX(
  ARRAYFORMULA(
    IFERROR(
      VLOOKUP(
        TRANSPOSE(ARRAYFORMULA(SPLIT(K50, CHAR(10)))),
        {Capabilities!$E:$E, Capabilities!R:R},
        2,
        FALSE
      ) * 1,
      0
    )
  )
)"),45962.0)</f>
        <v>45962</v>
      </c>
      <c r="P50" s="226">
        <f>IFERROR(__xludf.DUMMYFUNCTION("MAX(
  ARRAYFORMULA(
    IFERROR(
      VLOOKUP(
        TRANSPOSE(ARRAYFORMULA(SPLIT(K50, CHAR(10)))),
        {Capabilities!$E:$E, Capabilities!S:S},
        2,
        FALSE
      ) * 1,
      0
    )
  )
)"),46023.0)</f>
        <v>46023</v>
      </c>
      <c r="Q50" s="319"/>
      <c r="R50" s="314"/>
      <c r="S50" s="314"/>
    </row>
    <row r="51" ht="30.75" customHeight="1" outlineLevel="1">
      <c r="A51" s="259"/>
      <c r="B51" s="307" t="s">
        <v>735</v>
      </c>
      <c r="C51" s="272" t="s">
        <v>736</v>
      </c>
      <c r="D51" s="230" t="s">
        <v>323</v>
      </c>
      <c r="E51" s="231" t="s">
        <v>588</v>
      </c>
      <c r="F51" s="232" t="s">
        <v>366</v>
      </c>
      <c r="G51" s="231" t="s">
        <v>628</v>
      </c>
      <c r="H51" s="309"/>
      <c r="I51" s="309"/>
      <c r="J51" s="310" t="s">
        <v>334</v>
      </c>
      <c r="K51" s="311" t="s">
        <v>737</v>
      </c>
      <c r="L51" s="312" t="str">
        <f>IFERROR(__xludf.DUMMYFUNCTION("IF(COUNTBLANK(B51)&gt;0, """", IFERROR(JOIN("", ""&amp;CHAR(10), FILTER(IMPORTRANGE(""https://docs.google.com/spreadsheets/d/1Fgd7GP5RUQxajuAkULlL-NwY6xKNVDzD6d9lnxn5Xks/"", ""IGNORE: Issues/Risks!$E$5:$E$200""), 
ISNUMBER(SEARCH(B51, IMPORTRANGE(""https://docs."&amp;"google.com/spreadsheets/d/1Fgd7GP5RUQxajuAkULlL-NwY6xKNVDzD6d9lnxn5Xks/"", ""IGNORE: Issues/Risks!$J$5:$J$200""))))), ""No Match"")
)"),"No Match")</f>
        <v>No Match</v>
      </c>
      <c r="M51" s="226">
        <f>IFERROR(__xludf.DUMMYFUNCTION("MIN(
  ARRAYFORMULA(
    IFERROR(
      VLOOKUP(
        TRANSPOSE(ARRAYFORMULA(SPLIT(K51, CHAR(10)))),
        {Capabilities!$E:$E, Capabilities!P:P},
        2,
        FALSE
      ) * 1,
      9999999
    )
  )
)"),45901.0)</f>
        <v>45901</v>
      </c>
      <c r="N51" s="226">
        <f>IFERROR(__xludf.DUMMYFUNCTION("MAX(
  ARRAYFORMULA(
    IFERROR(
      VLOOKUP(
        TRANSPOSE(ARRAYFORMULA(SPLIT(K51, CHAR(10)))),
        {Capabilities!$E:$E, Capabilities!Q:Q},
        2,
        FALSE
      ) * 1,
      0
    )
  )
)"),45962.0)</f>
        <v>45962</v>
      </c>
      <c r="O51" s="226">
        <f>IFERROR(__xludf.DUMMYFUNCTION("MAX(
  ARRAYFORMULA(
    IFERROR(
      VLOOKUP(
        TRANSPOSE(ARRAYFORMULA(SPLIT(K51, CHAR(10)))),
        {Capabilities!$E:$E, Capabilities!R:R},
        2,
        FALSE
      ) * 1,
      0
    )
  )
)"),45962.0)</f>
        <v>45962</v>
      </c>
      <c r="P51" s="226">
        <f>IFERROR(__xludf.DUMMYFUNCTION("MAX(
  ARRAYFORMULA(
    IFERROR(
      VLOOKUP(
        TRANSPOSE(ARRAYFORMULA(SPLIT(K51, CHAR(10)))),
        {Capabilities!$E:$E, Capabilities!S:S},
        2,
        FALSE
      ) * 1,
      0
    )
  )
)"),46113.0)</f>
        <v>46113</v>
      </c>
      <c r="Q51" s="313"/>
      <c r="R51" s="314"/>
      <c r="S51" s="314"/>
    </row>
    <row r="52" ht="30.75" customHeight="1" outlineLevel="1">
      <c r="A52" s="259"/>
      <c r="B52" s="307" t="s">
        <v>738</v>
      </c>
      <c r="C52" s="272" t="s">
        <v>739</v>
      </c>
      <c r="D52" s="230" t="s">
        <v>323</v>
      </c>
      <c r="E52" s="231" t="s">
        <v>588</v>
      </c>
      <c r="F52" s="232" t="s">
        <v>366</v>
      </c>
      <c r="G52" s="231" t="s">
        <v>628</v>
      </c>
      <c r="H52" s="309"/>
      <c r="I52" s="309"/>
      <c r="J52" s="310" t="s">
        <v>322</v>
      </c>
      <c r="K52" s="311" t="s">
        <v>740</v>
      </c>
      <c r="L52" s="318" t="str">
        <f>IFERROR(__xludf.DUMMYFUNCTION("IF(COUNTBLANK(B52)&gt;0, """", IFERROR(JOIN("", ""&amp;CHAR(10), FILTER(IMPORTRANGE(""https://docs.google.com/spreadsheets/d/1Fgd7GP5RUQxajuAkULlL-NwY6xKNVDzD6d9lnxn5Xks/"", ""IGNORE: Issues/Risks!$E$5:$E$200""), 
ISNUMBER(SEARCH(B52, IMPORTRANGE(""https://docs."&amp;"google.com/spreadsheets/d/1Fgd7GP5RUQxajuAkULlL-NwY6xKNVDzD6d9lnxn5Xks/"", ""IGNORE: Issues/Risks!$J$5:$J$200""))))), ""No Match"")
)"),"No Match")</f>
        <v>No Match</v>
      </c>
      <c r="M52" s="226">
        <f>IFERROR(__xludf.DUMMYFUNCTION("MIN(
  ARRAYFORMULA(
    IFERROR(
      VLOOKUP(
        TRANSPOSE(ARRAYFORMULA(SPLIT(K52, CHAR(10)))),
        {Capabilities!$E:$E, Capabilities!P:P},
        2,
        FALSE
      ) * 1,
      9999999
    )
  )
)"),45901.0)</f>
        <v>45901</v>
      </c>
      <c r="N52" s="226">
        <f>IFERROR(__xludf.DUMMYFUNCTION("MAX(
  ARRAYFORMULA(
    IFERROR(
      VLOOKUP(
        TRANSPOSE(ARRAYFORMULA(SPLIT(K52, CHAR(10)))),
        {Capabilities!$E:$E, Capabilities!Q:Q},
        2,
        FALSE
      ) * 1,
      0
    )
  )
)"),46113.0)</f>
        <v>46113</v>
      </c>
      <c r="O52" s="226">
        <f>IFERROR(__xludf.DUMMYFUNCTION("MAX(
  ARRAYFORMULA(
    IFERROR(
      VLOOKUP(
        TRANSPOSE(ARRAYFORMULA(SPLIT(K52, CHAR(10)))),
        {Capabilities!$E:$E, Capabilities!R:R},
        2,
        FALSE
      ) * 1,
      0
    )
  )
)"),46204.0)</f>
        <v>46204</v>
      </c>
      <c r="P52" s="226">
        <f>IFERROR(__xludf.DUMMYFUNCTION("MAX(
  ARRAYFORMULA(
    IFERROR(
      VLOOKUP(
        TRANSPOSE(ARRAYFORMULA(SPLIT(K52, CHAR(10)))),
        {Capabilities!$E:$E, Capabilities!S:S},
        2,
        FALSE
      ) * 1,
      0
    )
  )
)"),46296.0)</f>
        <v>46296</v>
      </c>
      <c r="Q52" s="313"/>
      <c r="R52" s="314"/>
      <c r="S52" s="314"/>
    </row>
    <row r="53" ht="30.75" customHeight="1" outlineLevel="1">
      <c r="A53" s="259"/>
      <c r="B53" s="269" t="s">
        <v>741</v>
      </c>
      <c r="C53" s="272" t="s">
        <v>742</v>
      </c>
      <c r="D53" s="230" t="s">
        <v>323</v>
      </c>
      <c r="E53" s="231" t="s">
        <v>588</v>
      </c>
      <c r="F53" s="232" t="s">
        <v>366</v>
      </c>
      <c r="G53" s="231" t="s">
        <v>628</v>
      </c>
      <c r="H53" s="320" t="s">
        <v>743</v>
      </c>
      <c r="I53" s="320"/>
      <c r="J53" s="310" t="s">
        <v>322</v>
      </c>
      <c r="K53" s="321" t="s">
        <v>744</v>
      </c>
      <c r="L53" s="322" t="str">
        <f>IFERROR(__xludf.DUMMYFUNCTION("IF(COUNTBLANK(B53)&gt;0, """", IFERROR(JOIN("", ""&amp;CHAR(10), FILTER(IMPORTRANGE(""https://docs.google.com/spreadsheets/d/1Fgd7GP5RUQxajuAkULlL-NwY6xKNVDzD6d9lnxn5Xks/"", ""IGNORE: Issues/Risks!$E$5:$E$200""), 
ISNUMBER(SEARCH(B53, IMPORTRANGE(""https://docs."&amp;"google.com/spreadsheets/d/1Fgd7GP5RUQxajuAkULlL-NwY6xKNVDzD6d9lnxn5Xks/"", ""IGNORE: Issues/Risks!$J$5:$J$200""))))), ""No Match"")
)"),"No Match")</f>
        <v>No Match</v>
      </c>
      <c r="M53" s="226">
        <f>IFERROR(__xludf.DUMMYFUNCTION("MIN(
  ARRAYFORMULA(
    IFERROR(
      VLOOKUP(
        TRANSPOSE(ARRAYFORMULA(SPLIT(K53, CHAR(10)))),
        {Capabilities!$E:$E, Capabilities!P:P},
        2,
        FALSE
      ) * 1,
      9999999
    )
  )
)"),45901.0)</f>
        <v>45901</v>
      </c>
      <c r="N53" s="226">
        <f>IFERROR(__xludf.DUMMYFUNCTION("MAX(
  ARRAYFORMULA(
    IFERROR(
      VLOOKUP(
        TRANSPOSE(ARRAYFORMULA(SPLIT(K53, CHAR(10)))),
        {Capabilities!$E:$E, Capabilities!Q:Q},
        2,
        FALSE
      ) * 1,
      0
    )
  )
)"),46204.0)</f>
        <v>46204</v>
      </c>
      <c r="O53" s="226">
        <f>IFERROR(__xludf.DUMMYFUNCTION("MAX(
  ARRAYFORMULA(
    IFERROR(
      VLOOKUP(
        TRANSPOSE(ARRAYFORMULA(SPLIT(K53, CHAR(10)))),
        {Capabilities!$E:$E, Capabilities!R:R},
        2,
        FALSE
      ) * 1,
      0
    )
  )
)"),46296.0)</f>
        <v>46296</v>
      </c>
      <c r="P53" s="226">
        <f>IFERROR(__xludf.DUMMYFUNCTION("MAX(
  ARRAYFORMULA(
    IFERROR(
      VLOOKUP(
        TRANSPOSE(ARRAYFORMULA(SPLIT(K53, CHAR(10)))),
        {Capabilities!$E:$E, Capabilities!S:S},
        2,
        FALSE
      ) * 1,
      0
    )
  )
)"),46388.0)</f>
        <v>46388</v>
      </c>
      <c r="Q53" s="323"/>
      <c r="R53" s="314"/>
      <c r="S53" s="314"/>
    </row>
    <row r="54" ht="30.75" customHeight="1" outlineLevel="1">
      <c r="A54" s="259"/>
      <c r="B54" s="307" t="s">
        <v>745</v>
      </c>
      <c r="C54" s="324" t="s">
        <v>746</v>
      </c>
      <c r="D54" s="230" t="s">
        <v>323</v>
      </c>
      <c r="E54" s="231" t="s">
        <v>588</v>
      </c>
      <c r="F54" s="232" t="s">
        <v>366</v>
      </c>
      <c r="G54" s="231" t="s">
        <v>628</v>
      </c>
      <c r="H54" s="309"/>
      <c r="I54" s="309"/>
      <c r="J54" s="310" t="s">
        <v>340</v>
      </c>
      <c r="K54" s="311" t="s">
        <v>101</v>
      </c>
      <c r="L54" s="318" t="str">
        <f>IFERROR(__xludf.DUMMYFUNCTION("IF(COUNTBLANK(B54)&gt;0, """", IFERROR(JOIN("", ""&amp;CHAR(10), FILTER(IMPORTRANGE(""https://docs.google.com/spreadsheets/d/1Fgd7GP5RUQxajuAkULlL-NwY6xKNVDzD6d9lnxn5Xks/"", ""IGNORE: Issues/Risks!$E$5:$E$200""), 
ISNUMBER(SEARCH(B54, IMPORTRANGE(""https://docs."&amp;"google.com/spreadsheets/d/1Fgd7GP5RUQxajuAkULlL-NwY6xKNVDzD6d9lnxn5Xks/"", ""IGNORE: Issues/Risks!$J$5:$J$200""))))), ""No Match"")
)"),"No Match")</f>
        <v>No Match</v>
      </c>
      <c r="M54" s="226"/>
      <c r="N54" s="226"/>
      <c r="O54" s="226"/>
      <c r="P54" s="226"/>
      <c r="Q54" s="313"/>
      <c r="R54" s="314"/>
      <c r="S54" s="314"/>
    </row>
    <row r="55" ht="30.75" customHeight="1" outlineLevel="1">
      <c r="A55" s="259"/>
      <c r="B55" s="325"/>
      <c r="C55" s="326" t="s">
        <v>747</v>
      </c>
      <c r="D55" s="241"/>
      <c r="E55" s="327"/>
      <c r="F55" s="328"/>
      <c r="G55" s="327"/>
      <c r="H55" s="329"/>
      <c r="I55" s="329"/>
      <c r="J55" s="330"/>
      <c r="K55" s="331"/>
      <c r="L55" s="277" t="str">
        <f>IFERROR(__xludf.DUMMYFUNCTION("IF(COUNTBLANK(B55)&gt;0, """", IFERROR(JOIN("", ""&amp;CHAR(10), FILTER(IMPORTRANGE(""https://docs.google.com/spreadsheets/d/1Fgd7GP5RUQxajuAkULlL-NwY6xKNVDzD6d9lnxn5Xks/"", ""IGNORE: Issues/Risks!$E$5:$E$200""), 
ISNUMBER(SEARCH(B55, IMPORTRANGE(""https://docs."&amp;"google.com/spreadsheets/d/1Fgd7GP5RUQxajuAkULlL-NwY6xKNVDzD6d9lnxn5Xks/"", ""IGNORE: Issues/Risks!$J$5:$J$200""))))), ""No Match"")
)"),"")</f>
        <v/>
      </c>
      <c r="M55" s="226"/>
      <c r="N55" s="226"/>
      <c r="O55" s="226"/>
      <c r="P55" s="226"/>
      <c r="Q55" s="313"/>
      <c r="R55" s="314"/>
      <c r="S55" s="314"/>
    </row>
    <row r="56" ht="30.75" customHeight="1" outlineLevel="1">
      <c r="A56" s="259"/>
      <c r="B56" s="332"/>
      <c r="C56" s="243"/>
      <c r="D56" s="241"/>
      <c r="E56" s="299"/>
      <c r="F56" s="243"/>
      <c r="G56" s="242"/>
      <c r="H56" s="243"/>
      <c r="I56" s="243"/>
      <c r="J56" s="243"/>
      <c r="K56" s="244"/>
      <c r="L56" s="280" t="str">
        <f>IFERROR(__xludf.DUMMYFUNCTION("IF(COUNTBLANK(B56)&gt;0, """", IFERROR(JOIN("", ""&amp;CHAR(10), FILTER(IMPORTRANGE(""https://docs.google.com/spreadsheets/d/1Fgd7GP5RUQxajuAkULlL-NwY6xKNVDzD6d9lnxn5Xks/"", ""IGNORE: Issues/Risks!$E$5:$E$200""), 
ISNUMBER(SEARCH(B56, IMPORTRANGE(""https://docs."&amp;"google.com/spreadsheets/d/1Fgd7GP5RUQxajuAkULlL-NwY6xKNVDzD6d9lnxn5Xks/"", ""IGNORE: Issues/Risks!$J$5:$J$200""))))), ""No Match"")
)"),"")</f>
        <v/>
      </c>
      <c r="M56" s="247"/>
      <c r="N56" s="247"/>
      <c r="O56" s="247"/>
      <c r="P56" s="247"/>
      <c r="Q56" s="245"/>
      <c r="R56" s="245"/>
      <c r="S56" s="245"/>
    </row>
    <row r="57" ht="30.75" customHeight="1">
      <c r="A57" s="248" t="s">
        <v>748</v>
      </c>
      <c r="B57" s="333" t="s">
        <v>749</v>
      </c>
      <c r="C57" s="334" t="s">
        <v>750</v>
      </c>
      <c r="D57" s="251" t="s">
        <v>323</v>
      </c>
      <c r="E57" s="335" t="s">
        <v>588</v>
      </c>
      <c r="F57" s="336" t="s">
        <v>366</v>
      </c>
      <c r="G57" s="252" t="s">
        <v>281</v>
      </c>
      <c r="H57" s="337"/>
      <c r="I57" s="337"/>
      <c r="J57" s="251" t="s">
        <v>322</v>
      </c>
      <c r="K57" s="294" t="s">
        <v>101</v>
      </c>
      <c r="L57" s="283" t="str">
        <f>IFERROR(__xludf.DUMMYFUNCTION("IF(COUNTBLANK(B57)&gt;0, """", IFERROR(JOIN("", ""&amp;CHAR(10), FILTER(IMPORTRANGE(""https://docs.google.com/spreadsheets/d/1Fgd7GP5RUQxajuAkULlL-NwY6xKNVDzD6d9lnxn5Xks/"", ""IGNORE: Issues/Risks!$E$5:$E$200""), 
ISNUMBER(SEARCH(B57, IMPORTRANGE(""https://docs."&amp;"google.com/spreadsheets/d/1Fgd7GP5RUQxajuAkULlL-NwY6xKNVDzD6d9lnxn5Xks/"", ""IGNORE: Issues/Risks!$J$5:$J$200""))))), ""No Match"")
)"),"No Match")</f>
        <v>No Match</v>
      </c>
      <c r="M57" s="226"/>
      <c r="N57" s="226"/>
      <c r="O57" s="226"/>
      <c r="P57" s="226"/>
      <c r="Q57" s="295"/>
      <c r="R57" s="258"/>
      <c r="S57" s="258"/>
    </row>
    <row r="58" ht="30.75" customHeight="1" outlineLevel="1">
      <c r="A58" s="259"/>
      <c r="B58" s="338" t="s">
        <v>751</v>
      </c>
      <c r="C58" s="339"/>
      <c r="D58" s="230" t="s">
        <v>323</v>
      </c>
      <c r="E58" s="340" t="s">
        <v>588</v>
      </c>
      <c r="F58" s="310" t="s">
        <v>366</v>
      </c>
      <c r="G58" s="231" t="s">
        <v>281</v>
      </c>
      <c r="H58" s="341"/>
      <c r="I58" s="230"/>
      <c r="J58" s="230" t="s">
        <v>340</v>
      </c>
      <c r="K58" s="238" t="s">
        <v>101</v>
      </c>
      <c r="L58" s="266" t="str">
        <f>IFERROR(__xludf.DUMMYFUNCTION("IF(COUNTBLANK(B58)&gt;0, """", IFERROR(JOIN("", ""&amp;CHAR(10), FILTER(IMPORTRANGE(""https://docs.google.com/spreadsheets/d/1Fgd7GP5RUQxajuAkULlL-NwY6xKNVDzD6d9lnxn5Xks/"", ""IGNORE: Issues/Risks!$E$5:$E$200""), 
ISNUMBER(SEARCH(B58, IMPORTRANGE(""https://docs."&amp;"google.com/spreadsheets/d/1Fgd7GP5RUQxajuAkULlL-NwY6xKNVDzD6d9lnxn5Xks/"", ""IGNORE: Issues/Risks!$J$5:$J$200""))))), ""No Match"")
)"),"No Match")</f>
        <v>No Match</v>
      </c>
      <c r="M58" s="226"/>
      <c r="N58" s="226"/>
      <c r="O58" s="226"/>
      <c r="P58" s="226"/>
      <c r="Q58" s="271"/>
      <c r="R58" s="268"/>
      <c r="S58" s="268"/>
    </row>
    <row r="59" ht="30.75" customHeight="1" outlineLevel="1">
      <c r="A59" s="259"/>
      <c r="B59" s="338" t="s">
        <v>752</v>
      </c>
      <c r="C59" s="308" t="s">
        <v>753</v>
      </c>
      <c r="D59" s="230" t="s">
        <v>323</v>
      </c>
      <c r="E59" s="340" t="s">
        <v>588</v>
      </c>
      <c r="F59" s="310" t="s">
        <v>366</v>
      </c>
      <c r="G59" s="231" t="s">
        <v>281</v>
      </c>
      <c r="H59" s="341"/>
      <c r="I59" s="341"/>
      <c r="J59" s="230" t="s">
        <v>334</v>
      </c>
      <c r="K59" s="238" t="s">
        <v>101</v>
      </c>
      <c r="L59" s="263" t="str">
        <f>IFERROR(__xludf.DUMMYFUNCTION("IF(COUNTBLANK(B59)&gt;0, """", IFERROR(JOIN("", ""&amp;CHAR(10), FILTER(IMPORTRANGE(""https://docs.google.com/spreadsheets/d/1Fgd7GP5RUQxajuAkULlL-NwY6xKNVDzD6d9lnxn5Xks/"", ""IGNORE: Issues/Risks!$E$5:$E$200""), 
ISNUMBER(SEARCH(B59, IMPORTRANGE(""https://docs."&amp;"google.com/spreadsheets/d/1Fgd7GP5RUQxajuAkULlL-NwY6xKNVDzD6d9lnxn5Xks/"", ""IGNORE: Issues/Risks!$J$5:$J$200""))))), ""No Match"")
)"),"No Match")</f>
        <v>No Match</v>
      </c>
      <c r="M59" s="226"/>
      <c r="N59" s="226"/>
      <c r="O59" s="226"/>
      <c r="P59" s="226"/>
      <c r="Q59" s="271"/>
      <c r="R59" s="268"/>
      <c r="S59" s="268"/>
    </row>
    <row r="60" ht="30.75" customHeight="1" outlineLevel="1">
      <c r="A60" s="259"/>
      <c r="B60" s="332"/>
      <c r="C60" s="242"/>
      <c r="D60" s="241"/>
      <c r="E60" s="242"/>
      <c r="F60" s="243"/>
      <c r="G60" s="242"/>
      <c r="H60" s="243"/>
      <c r="I60" s="243"/>
      <c r="J60" s="243"/>
      <c r="K60" s="244"/>
      <c r="L60" s="280" t="str">
        <f>IFERROR(__xludf.DUMMYFUNCTION("IF(COUNTBLANK(B60)&gt;0, """", IFERROR(JOIN("", ""&amp;CHAR(10), FILTER(IMPORTRANGE(""https://docs.google.com/spreadsheets/d/1Fgd7GP5RUQxajuAkULlL-NwY6xKNVDzD6d9lnxn5Xks/"", ""IGNORE: Issues/Risks!$E$5:$E$200""), 
ISNUMBER(SEARCH(B60, IMPORTRANGE(""https://docs."&amp;"google.com/spreadsheets/d/1Fgd7GP5RUQxajuAkULlL-NwY6xKNVDzD6d9lnxn5Xks/"", ""IGNORE: Issues/Risks!$J$5:$J$200""))))), ""No Match"")
)"),"")</f>
        <v/>
      </c>
      <c r="M60" s="247"/>
      <c r="N60" s="247"/>
      <c r="O60" s="247"/>
      <c r="P60" s="247"/>
      <c r="Q60" s="245"/>
      <c r="R60" s="245"/>
      <c r="S60" s="245"/>
    </row>
    <row r="61" ht="30.75" customHeight="1">
      <c r="A61" s="342" t="s">
        <v>754</v>
      </c>
      <c r="B61" s="343" t="s">
        <v>755</v>
      </c>
      <c r="C61" s="344" t="s">
        <v>756</v>
      </c>
      <c r="D61" s="345" t="s">
        <v>323</v>
      </c>
      <c r="E61" s="346" t="s">
        <v>588</v>
      </c>
      <c r="F61" s="347" t="s">
        <v>366</v>
      </c>
      <c r="G61" s="348" t="s">
        <v>281</v>
      </c>
      <c r="H61" s="349"/>
      <c r="I61" s="349"/>
      <c r="J61" s="347" t="s">
        <v>322</v>
      </c>
      <c r="K61" s="350" t="s">
        <v>757</v>
      </c>
      <c r="L61" s="351" t="str">
        <f>IFERROR(__xludf.DUMMYFUNCTION("IF(COUNTBLANK(B61)&gt;0, """", IFERROR(JOIN("", ""&amp;CHAR(10), FILTER(IMPORTRANGE(""https://docs.google.com/spreadsheets/d/1Fgd7GP5RUQxajuAkULlL-NwY6xKNVDzD6d9lnxn5Xks/"", ""IGNORE: Issues/Risks!$E$5:$E$200""), 
ISNUMBER(SEARCH(B61, IMPORTRANGE(""https://docs."&amp;"google.com/spreadsheets/d/1Fgd7GP5RUQxajuAkULlL-NwY6xKNVDzD6d9lnxn5Xks/"", ""IGNORE: Issues/Risks!$J$5:$J$200""))))), ""No Match"")
)"),"No Match")</f>
        <v>No Match</v>
      </c>
      <c r="M61" s="226">
        <f>IFERROR(__xludf.DUMMYFUNCTION("MIN(
  ARRAYFORMULA(
    IFERROR(
      VLOOKUP(
        TRANSPOSE(ARRAYFORMULA(SPLIT(K61, CHAR(10)))),
        {Capabilities!$E:$E, Capabilities!P:P},
        2,
        FALSE
      ) * 1,
      9999999
    )
  )
)"),45901.0)</f>
        <v>45901</v>
      </c>
      <c r="N61" s="226">
        <f>IFERROR(__xludf.DUMMYFUNCTION("MAX(
  ARRAYFORMULA(
    IFERROR(
      VLOOKUP(
        TRANSPOSE(ARRAYFORMULA(SPLIT(K61, CHAR(10)))),
        {Capabilities!$E:$E, Capabilities!Q:Q},
        2,
        FALSE
      ) * 1,
      0
    )
  )
)"),45962.0)</f>
        <v>45962</v>
      </c>
      <c r="O61" s="226">
        <f>IFERROR(__xludf.DUMMYFUNCTION("MAX(
  ARRAYFORMULA(
    IFERROR(
      VLOOKUP(
        TRANSPOSE(ARRAYFORMULA(SPLIT(K61, CHAR(10)))),
        {Capabilities!$E:$E, Capabilities!R:R},
        2,
        FALSE
      ) * 1,
      0
    )
  )
)"),46023.0)</f>
        <v>46023</v>
      </c>
      <c r="P61" s="226">
        <f>IFERROR(__xludf.DUMMYFUNCTION("MAX(
  ARRAYFORMULA(
    IFERROR(
      VLOOKUP(
        TRANSPOSE(ARRAYFORMULA(SPLIT(K61, CHAR(10)))),
        {Capabilities!$E:$E, Capabilities!S:S},
        2,
        FALSE
      ) * 1,
      0
    )
  )
)"),46113.0)</f>
        <v>46113</v>
      </c>
      <c r="Q61" s="352"/>
      <c r="R61" s="353"/>
      <c r="S61" s="353"/>
    </row>
    <row r="62" ht="30.75" customHeight="1" outlineLevel="1">
      <c r="A62" s="354"/>
      <c r="B62" s="355" t="s">
        <v>758</v>
      </c>
      <c r="C62" s="356" t="s">
        <v>759</v>
      </c>
      <c r="D62" s="219" t="s">
        <v>323</v>
      </c>
      <c r="E62" s="357" t="s">
        <v>588</v>
      </c>
      <c r="F62" s="358" t="s">
        <v>366</v>
      </c>
      <c r="G62" s="220" t="s">
        <v>281</v>
      </c>
      <c r="H62" s="359"/>
      <c r="I62" s="359"/>
      <c r="J62" s="358" t="s">
        <v>322</v>
      </c>
      <c r="K62" s="360" t="s">
        <v>760</v>
      </c>
      <c r="L62" s="361" t="str">
        <f>IFERROR(__xludf.DUMMYFUNCTION("IF(COUNTBLANK(B62)&gt;0, """", IFERROR(JOIN("", ""&amp;CHAR(10), FILTER(IMPORTRANGE(""https://docs.google.com/spreadsheets/d/1Fgd7GP5RUQxajuAkULlL-NwY6xKNVDzD6d9lnxn5Xks/"", ""IGNORE: Issues/Risks!$E$5:$E$200""), 
ISNUMBER(SEARCH(B62, IMPORTRANGE(""https://docs."&amp;"google.com/spreadsheets/d/1Fgd7GP5RUQxajuAkULlL-NwY6xKNVDzD6d9lnxn5Xks/"", ""IGNORE: Issues/Risks!$J$5:$J$200""))))), ""No Match"")
)"),"No Match")</f>
        <v>No Match</v>
      </c>
      <c r="M62" s="226">
        <f>IFERROR(__xludf.DUMMYFUNCTION("MIN(
  ARRAYFORMULA(
    IFERROR(
      VLOOKUP(
        TRANSPOSE(ARRAYFORMULA(SPLIT(K62, CHAR(10)))),
        {Capabilities!$E:$E, Capabilities!P:P},
        2,
        FALSE
      ) * 1,
      9999999
    )
  )
)"),46113.0)</f>
        <v>46113</v>
      </c>
      <c r="N62" s="226">
        <f>IFERROR(__xludf.DUMMYFUNCTION("MAX(
  ARRAYFORMULA(
    IFERROR(
      VLOOKUP(
        TRANSPOSE(ARRAYFORMULA(SPLIT(K62, CHAR(10)))),
        {Capabilities!$E:$E, Capabilities!Q:Q},
        2,
        FALSE
      ) * 1,
      0
    )
  )
)"),46023.0)</f>
        <v>46023</v>
      </c>
      <c r="O62" s="226">
        <f>IFERROR(__xludf.DUMMYFUNCTION("MAX(
  ARRAYFORMULA(
    IFERROR(
      VLOOKUP(
        TRANSPOSE(ARRAYFORMULA(SPLIT(K62, CHAR(10)))),
        {Capabilities!$E:$E, Capabilities!R:R},
        2,
        FALSE
      ) * 1,
      0
    )
  )
)"),46113.0)</f>
        <v>46113</v>
      </c>
      <c r="P62" s="226">
        <f>IFERROR(__xludf.DUMMYFUNCTION("MAX(
  ARRAYFORMULA(
    IFERROR(
      VLOOKUP(
        TRANSPOSE(ARRAYFORMULA(SPLIT(K62, CHAR(10)))),
        {Capabilities!$E:$E, Capabilities!S:S},
        2,
        FALSE
      ) * 1,
      0
    )
  )
)"),46204.0)</f>
        <v>46204</v>
      </c>
      <c r="Q62" s="313"/>
      <c r="R62" s="314"/>
      <c r="S62" s="314"/>
    </row>
    <row r="63" ht="30.75" customHeight="1" outlineLevel="1">
      <c r="A63" s="354"/>
      <c r="B63" s="269" t="s">
        <v>761</v>
      </c>
      <c r="C63" s="356" t="s">
        <v>762</v>
      </c>
      <c r="D63" s="362" t="s">
        <v>323</v>
      </c>
      <c r="E63" s="363" t="s">
        <v>588</v>
      </c>
      <c r="F63" s="330" t="s">
        <v>366</v>
      </c>
      <c r="G63" s="327" t="s">
        <v>628</v>
      </c>
      <c r="H63" s="364"/>
      <c r="I63" s="364"/>
      <c r="J63" s="365" t="s">
        <v>322</v>
      </c>
      <c r="K63" s="366" t="s">
        <v>763</v>
      </c>
      <c r="L63" s="367" t="str">
        <f>IFERROR(__xludf.DUMMYFUNCTION("IF(COUNTBLANK(B63)&gt;0, """", IFERROR(JOIN("", ""&amp;CHAR(10), FILTER(IMPORTRANGE(""https://docs.google.com/spreadsheets/d/1Fgd7GP5RUQxajuAkULlL-NwY6xKNVDzD6d9lnxn5Xks/"", ""IGNORE: Issues/Risks!$E$5:$E$200""), 
ISNUMBER(SEARCH(B63, IMPORTRANGE(""https://docs."&amp;"google.com/spreadsheets/d/1Fgd7GP5RUQxajuAkULlL-NwY6xKNVDzD6d9lnxn5Xks/"", ""IGNORE: Issues/Risks!$J$5:$J$200""))))), ""No Match"")
)"),"No Match")</f>
        <v>No Match</v>
      </c>
      <c r="M63" s="226">
        <f>IFERROR(__xludf.DUMMYFUNCTION("MIN(
  ARRAYFORMULA(
    IFERROR(
      VLOOKUP(
        TRANSPOSE(ARRAYFORMULA(SPLIT(K63, CHAR(10)))),
        {Capabilities!$E:$E, Capabilities!P:P},
        2,
        FALSE
      ) * 1,
      9999999
    )
  )
)"),45901.0)</f>
        <v>45901</v>
      </c>
      <c r="N63" s="226">
        <f>IFERROR(__xludf.DUMMYFUNCTION("MAX(
  ARRAYFORMULA(
    IFERROR(
      VLOOKUP(
        TRANSPOSE(ARRAYFORMULA(SPLIT(K63, CHAR(10)))),
        {Capabilities!$E:$E, Capabilities!Q:Q},
        2,
        FALSE
      ) * 1,
      0
    )
  )
)"),46023.0)</f>
        <v>46023</v>
      </c>
      <c r="O63" s="226">
        <f>IFERROR(__xludf.DUMMYFUNCTION("MAX(
  ARRAYFORMULA(
    IFERROR(
      VLOOKUP(
        TRANSPOSE(ARRAYFORMULA(SPLIT(K63, CHAR(10)))),
        {Capabilities!$E:$E, Capabilities!R:R},
        2,
        FALSE
      ) * 1,
      0
    )
  )
)"),46113.0)</f>
        <v>46113</v>
      </c>
      <c r="P63" s="226">
        <f>IFERROR(__xludf.DUMMYFUNCTION("MAX(
  ARRAYFORMULA(
    IFERROR(
      VLOOKUP(
        TRANSPOSE(ARRAYFORMULA(SPLIT(K63, CHAR(10)))),
        {Capabilities!$E:$E, Capabilities!S:S},
        2,
        FALSE
      ) * 1,
      0
    )
  )
)"),46204.0)</f>
        <v>46204</v>
      </c>
      <c r="Q63" s="313"/>
      <c r="R63" s="314"/>
      <c r="S63" s="314"/>
    </row>
    <row r="64" ht="30.75" customHeight="1" outlineLevel="1">
      <c r="A64" s="354"/>
      <c r="B64" s="269" t="s">
        <v>764</v>
      </c>
      <c r="C64" s="356" t="s">
        <v>765</v>
      </c>
      <c r="D64" s="219" t="s">
        <v>323</v>
      </c>
      <c r="E64" s="357" t="s">
        <v>588</v>
      </c>
      <c r="F64" s="358" t="s">
        <v>366</v>
      </c>
      <c r="G64" s="327" t="s">
        <v>628</v>
      </c>
      <c r="H64" s="359"/>
      <c r="I64" s="359"/>
      <c r="J64" s="358" t="s">
        <v>334</v>
      </c>
      <c r="K64" s="360" t="s">
        <v>766</v>
      </c>
      <c r="L64" s="361" t="str">
        <f>IFERROR(__xludf.DUMMYFUNCTION("IF(COUNTBLANK(B64)&gt;0, """", IFERROR(JOIN("", ""&amp;CHAR(10), FILTER(IMPORTRANGE(""https://docs.google.com/spreadsheets/d/1Fgd7GP5RUQxajuAkULlL-NwY6xKNVDzD6d9lnxn5Xks/"", ""IGNORE: Issues/Risks!$E$5:$E$200""), 
ISNUMBER(SEARCH(B64, IMPORTRANGE(""https://docs."&amp;"google.com/spreadsheets/d/1Fgd7GP5RUQxajuAkULlL-NwY6xKNVDzD6d9lnxn5Xks/"", ""IGNORE: Issues/Risks!$J$5:$J$200""))))), ""No Match"")
)"),"C007")</f>
        <v>C007</v>
      </c>
      <c r="M64" s="226">
        <f>IFERROR(__xludf.DUMMYFUNCTION("MIN(
  ARRAYFORMULA(
    IFERROR(
      VLOOKUP(
        TRANSPOSE(ARRAYFORMULA(SPLIT(K64, CHAR(10)))),
        {Capabilities!$E:$E, Capabilities!P:P},
        2,
        FALSE
      ) * 1,
      9999999
    )
  )
)"),45901.0)</f>
        <v>45901</v>
      </c>
      <c r="N64" s="226">
        <f>IFERROR(__xludf.DUMMYFUNCTION("MAX(
  ARRAYFORMULA(
    IFERROR(
      VLOOKUP(
        TRANSPOSE(ARRAYFORMULA(SPLIT(K64, CHAR(10)))),
        {Capabilities!$E:$E, Capabilities!Q:Q},
        2,
        FALSE
      ) * 1,
      0
    )
  )
)"),46023.0)</f>
        <v>46023</v>
      </c>
      <c r="O64" s="226">
        <f>IFERROR(__xludf.DUMMYFUNCTION("MAX(
  ARRAYFORMULA(
    IFERROR(
      VLOOKUP(
        TRANSPOSE(ARRAYFORMULA(SPLIT(K64, CHAR(10)))),
        {Capabilities!$E:$E, Capabilities!R:R},
        2,
        FALSE
      ) * 1,
      0
    )
  )
)"),46113.0)</f>
        <v>46113</v>
      </c>
      <c r="P64" s="226">
        <f>IFERROR(__xludf.DUMMYFUNCTION("MAX(
  ARRAYFORMULA(
    IFERROR(
      VLOOKUP(
        TRANSPOSE(ARRAYFORMULA(SPLIT(K64, CHAR(10)))),
        {Capabilities!$E:$E, Capabilities!S:S},
        2,
        FALSE
      ) * 1,
      0
    )
  )
)"),46204.0)</f>
        <v>46204</v>
      </c>
      <c r="Q64" s="313"/>
      <c r="R64" s="314"/>
      <c r="S64" s="314"/>
    </row>
    <row r="65" ht="30.75" customHeight="1" outlineLevel="1">
      <c r="A65" s="259"/>
      <c r="B65" s="269" t="s">
        <v>767</v>
      </c>
      <c r="C65" s="308" t="s">
        <v>768</v>
      </c>
      <c r="D65" s="230" t="s">
        <v>323</v>
      </c>
      <c r="E65" s="340" t="s">
        <v>588</v>
      </c>
      <c r="F65" s="310" t="s">
        <v>366</v>
      </c>
      <c r="G65" s="231" t="s">
        <v>281</v>
      </c>
      <c r="H65" s="309"/>
      <c r="I65" s="309"/>
      <c r="J65" s="310" t="s">
        <v>322</v>
      </c>
      <c r="K65" s="311" t="s">
        <v>649</v>
      </c>
      <c r="L65" s="312" t="str">
        <f>IFERROR(__xludf.DUMMYFUNCTION("IF(COUNTBLANK(B65)&gt;0, """", IFERROR(JOIN("", ""&amp;CHAR(10), FILTER(IMPORTRANGE(""https://docs.google.com/spreadsheets/d/1Fgd7GP5RUQxajuAkULlL-NwY6xKNVDzD6d9lnxn5Xks/"", ""IGNORE: Issues/Risks!$E$5:$E$200""), 
ISNUMBER(SEARCH(B65, IMPORTRANGE(""https://docs."&amp;"google.com/spreadsheets/d/1Fgd7GP5RUQxajuAkULlL-NwY6xKNVDzD6d9lnxn5Xks/"", ""IGNORE: Issues/Risks!$J$5:$J$200""))))), ""No Match"")
)"),"No Match")</f>
        <v>No Match</v>
      </c>
      <c r="M65" s="226"/>
      <c r="N65" s="226"/>
      <c r="O65" s="226"/>
      <c r="P65" s="226"/>
      <c r="Q65" s="313"/>
      <c r="R65" s="314"/>
      <c r="S65" s="314"/>
    </row>
    <row r="66" ht="30.75" customHeight="1" outlineLevel="1">
      <c r="A66" s="259"/>
      <c r="B66" s="269" t="s">
        <v>769</v>
      </c>
      <c r="C66" s="308" t="s">
        <v>770</v>
      </c>
      <c r="D66" s="230" t="s">
        <v>323</v>
      </c>
      <c r="E66" s="340" t="s">
        <v>588</v>
      </c>
      <c r="F66" s="310" t="s">
        <v>366</v>
      </c>
      <c r="G66" s="231" t="s">
        <v>628</v>
      </c>
      <c r="H66" s="309"/>
      <c r="I66" s="309"/>
      <c r="J66" s="310" t="s">
        <v>322</v>
      </c>
      <c r="K66" s="311" t="s">
        <v>771</v>
      </c>
      <c r="L66" s="318" t="str">
        <f>IFERROR(__xludf.DUMMYFUNCTION("IF(COUNTBLANK(B66)&gt;0, """", IFERROR(JOIN("", ""&amp;CHAR(10), FILTER(IMPORTRANGE(""https://docs.google.com/spreadsheets/d/1Fgd7GP5RUQxajuAkULlL-NwY6xKNVDzD6d9lnxn5Xks/"", ""IGNORE: Issues/Risks!$E$5:$E$200""), 
ISNUMBER(SEARCH(B66, IMPORTRANGE(""https://docs."&amp;"google.com/spreadsheets/d/1Fgd7GP5RUQxajuAkULlL-NwY6xKNVDzD6d9lnxn5Xks/"", ""IGNORE: Issues/Risks!$J$5:$J$200""))))), ""No Match"")
)"),"No Match")</f>
        <v>No Match</v>
      </c>
      <c r="M66" s="226">
        <f>IFERROR(__xludf.DUMMYFUNCTION("MIN(
  ARRAYFORMULA(
    IFERROR(
      VLOOKUP(
        TRANSPOSE(ARRAYFORMULA(SPLIT(K66, CHAR(10)))),
        {Capabilities!$E:$E, Capabilities!P:P},
        2,
        FALSE
      ) * 1,
      9999999
    )
  )
)"),45901.0)</f>
        <v>45901</v>
      </c>
      <c r="N66" s="226">
        <f>IFERROR(__xludf.DUMMYFUNCTION("MAX(
  ARRAYFORMULA(
    IFERROR(
      VLOOKUP(
        TRANSPOSE(ARRAYFORMULA(SPLIT(K66, CHAR(10)))),
        {Capabilities!$E:$E, Capabilities!Q:Q},
        2,
        FALSE
      ) * 1,
      0
    )
  )
)"),46023.0)</f>
        <v>46023</v>
      </c>
      <c r="O66" s="226">
        <f>IFERROR(__xludf.DUMMYFUNCTION("MAX(
  ARRAYFORMULA(
    IFERROR(
      VLOOKUP(
        TRANSPOSE(ARRAYFORMULA(SPLIT(K66, CHAR(10)))),
        {Capabilities!$E:$E, Capabilities!R:R},
        2,
        FALSE
      ) * 1,
      0
    )
  )
)"),46113.0)</f>
        <v>46113</v>
      </c>
      <c r="P66" s="226">
        <f>IFERROR(__xludf.DUMMYFUNCTION("MAX(
  ARRAYFORMULA(
    IFERROR(
      VLOOKUP(
        TRANSPOSE(ARRAYFORMULA(SPLIT(K66, CHAR(10)))),
        {Capabilities!$E:$E, Capabilities!S:S},
        2,
        FALSE
      ) * 1,
      0
    )
  )
)"),46204.0)</f>
        <v>46204</v>
      </c>
      <c r="Q66" s="313"/>
      <c r="R66" s="314"/>
      <c r="S66" s="314"/>
    </row>
    <row r="67" ht="30.75" customHeight="1" outlineLevel="1">
      <c r="A67" s="259"/>
      <c r="B67" s="269" t="s">
        <v>772</v>
      </c>
      <c r="C67" s="308" t="s">
        <v>773</v>
      </c>
      <c r="D67" s="230" t="s">
        <v>323</v>
      </c>
      <c r="E67" s="340" t="s">
        <v>588</v>
      </c>
      <c r="F67" s="310" t="s">
        <v>366</v>
      </c>
      <c r="G67" s="231" t="s">
        <v>628</v>
      </c>
      <c r="H67" s="309"/>
      <c r="I67" s="309"/>
      <c r="J67" s="310" t="s">
        <v>322</v>
      </c>
      <c r="K67" s="311" t="s">
        <v>649</v>
      </c>
      <c r="L67" s="312" t="str">
        <f>IFERROR(__xludf.DUMMYFUNCTION("IF(COUNTBLANK(B67)&gt;0, """", IFERROR(JOIN("", ""&amp;CHAR(10), FILTER(IMPORTRANGE(""https://docs.google.com/spreadsheets/d/1Fgd7GP5RUQxajuAkULlL-NwY6xKNVDzD6d9lnxn5Xks/"", ""IGNORE: Issues/Risks!$E$5:$E$200""), 
ISNUMBER(SEARCH(B67, IMPORTRANGE(""https://docs."&amp;"google.com/spreadsheets/d/1Fgd7GP5RUQxajuAkULlL-NwY6xKNVDzD6d9lnxn5Xks/"", ""IGNORE: Issues/Risks!$J$5:$J$200""))))), ""No Match"")
)"),"No Match")</f>
        <v>No Match</v>
      </c>
      <c r="M67" s="226"/>
      <c r="N67" s="226"/>
      <c r="O67" s="226"/>
      <c r="P67" s="226"/>
      <c r="Q67" s="313"/>
      <c r="R67" s="314"/>
      <c r="S67" s="314"/>
    </row>
    <row r="68" ht="30.75" customHeight="1" outlineLevel="1">
      <c r="A68" s="259"/>
      <c r="B68" s="269" t="s">
        <v>774</v>
      </c>
      <c r="C68" s="308" t="s">
        <v>775</v>
      </c>
      <c r="D68" s="230" t="s">
        <v>323</v>
      </c>
      <c r="E68" s="340" t="s">
        <v>588</v>
      </c>
      <c r="F68" s="310" t="s">
        <v>366</v>
      </c>
      <c r="G68" s="231" t="s">
        <v>628</v>
      </c>
      <c r="H68" s="309"/>
      <c r="I68" s="309"/>
      <c r="J68" s="310" t="s">
        <v>334</v>
      </c>
      <c r="K68" s="311" t="s">
        <v>776</v>
      </c>
      <c r="L68" s="318" t="str">
        <f>IFERROR(__xludf.DUMMYFUNCTION("IF(COUNTBLANK(B68)&gt;0, """", IFERROR(JOIN("", ""&amp;CHAR(10), FILTER(IMPORTRANGE(""https://docs.google.com/spreadsheets/d/1Fgd7GP5RUQxajuAkULlL-NwY6xKNVDzD6d9lnxn5Xks/"", ""IGNORE: Issues/Risks!$E$5:$E$200""), 
ISNUMBER(SEARCH(B68, IMPORTRANGE(""https://docs."&amp;"google.com/spreadsheets/d/1Fgd7GP5RUQxajuAkULlL-NwY6xKNVDzD6d9lnxn5Xks/"", ""IGNORE: Issues/Risks!$J$5:$J$200""))))), ""No Match"")
)"),"No Match")</f>
        <v>No Match</v>
      </c>
      <c r="M68" s="226">
        <f>IFERROR(__xludf.DUMMYFUNCTION("MIN(
  ARRAYFORMULA(
    IFERROR(
      VLOOKUP(
        TRANSPOSE(ARRAYFORMULA(SPLIT(K68, CHAR(10)))),
        {Capabilities!$E:$E, Capabilities!P:P},
        2,
        FALSE
      ) * 1,
      9999999
    )
  )
)"),45901.0)</f>
        <v>45901</v>
      </c>
      <c r="N68" s="226">
        <f>IFERROR(__xludf.DUMMYFUNCTION("MAX(
  ARRAYFORMULA(
    IFERROR(
      VLOOKUP(
        TRANSPOSE(ARRAYFORMULA(SPLIT(K68, CHAR(10)))),
        {Capabilities!$E:$E, Capabilities!Q:Q},
        2,
        FALSE
      ) * 1,
      0
    )
  )
)"),46113.0)</f>
        <v>46113</v>
      </c>
      <c r="O68" s="226">
        <f>IFERROR(__xludf.DUMMYFUNCTION("MAX(
  ARRAYFORMULA(
    IFERROR(
      VLOOKUP(
        TRANSPOSE(ARRAYFORMULA(SPLIT(K68, CHAR(10)))),
        {Capabilities!$E:$E, Capabilities!R:R},
        2,
        FALSE
      ) * 1,
      0
    )
  )
)"),46204.0)</f>
        <v>46204</v>
      </c>
      <c r="P68" s="226">
        <f>IFERROR(__xludf.DUMMYFUNCTION("MAX(
  ARRAYFORMULA(
    IFERROR(
      VLOOKUP(
        TRANSPOSE(ARRAYFORMULA(SPLIT(K68, CHAR(10)))),
        {Capabilities!$E:$E, Capabilities!S:S},
        2,
        FALSE
      ) * 1,
      0
    )
  )
)"),46296.0)</f>
        <v>46296</v>
      </c>
      <c r="Q68" s="313"/>
      <c r="R68" s="314"/>
      <c r="S68" s="314"/>
    </row>
    <row r="69" ht="30.75" customHeight="1" outlineLevel="1">
      <c r="A69" s="259"/>
      <c r="B69" s="273" t="s">
        <v>777</v>
      </c>
      <c r="C69" s="368" t="s">
        <v>778</v>
      </c>
      <c r="D69" s="241" t="s">
        <v>323</v>
      </c>
      <c r="E69" s="340" t="s">
        <v>588</v>
      </c>
      <c r="F69" s="310" t="s">
        <v>366</v>
      </c>
      <c r="G69" s="231" t="s">
        <v>628</v>
      </c>
      <c r="H69" s="329"/>
      <c r="I69" s="329"/>
      <c r="J69" s="330" t="s">
        <v>340</v>
      </c>
      <c r="K69" s="331" t="s">
        <v>779</v>
      </c>
      <c r="L69" s="369" t="str">
        <f>IFERROR(__xludf.DUMMYFUNCTION("IF(COUNTBLANK(B69)&gt;0, """", IFERROR(JOIN("", ""&amp;CHAR(10), FILTER(IMPORTRANGE(""https://docs.google.com/spreadsheets/d/1Fgd7GP5RUQxajuAkULlL-NwY6xKNVDzD6d9lnxn5Xks/"", ""IGNORE: Issues/Risks!$E$5:$E$200""), 
ISNUMBER(SEARCH(B69, IMPORTRANGE(""https://docs."&amp;"google.com/spreadsheets/d/1Fgd7GP5RUQxajuAkULlL-NwY6xKNVDzD6d9lnxn5Xks/"", ""IGNORE: Issues/Risks!$J$5:$J$200""))))), ""No Match"")
)"),"No Match")</f>
        <v>No Match</v>
      </c>
      <c r="M69" s="226">
        <f>IFERROR(__xludf.DUMMYFUNCTION("MIN(
  ARRAYFORMULA(
    IFERROR(
      VLOOKUP(
        TRANSPOSE(ARRAYFORMULA(SPLIT(K69, CHAR(10)))),
        {Capabilities!$E:$E, Capabilities!P:P},
        2,
        FALSE
      ) * 1,
      9999999
    )
  )
)"),45901.0)</f>
        <v>45901</v>
      </c>
      <c r="N69" s="226">
        <f>IFERROR(__xludf.DUMMYFUNCTION("MAX(
  ARRAYFORMULA(
    IFERROR(
      VLOOKUP(
        TRANSPOSE(ARRAYFORMULA(SPLIT(K69, CHAR(10)))),
        {Capabilities!$E:$E, Capabilities!Q:Q},
        2,
        FALSE
      ) * 1,
      0
    )
  )
)"),46113.0)</f>
        <v>46113</v>
      </c>
      <c r="O69" s="226">
        <f>IFERROR(__xludf.DUMMYFUNCTION("MAX(
  ARRAYFORMULA(
    IFERROR(
      VLOOKUP(
        TRANSPOSE(ARRAYFORMULA(SPLIT(K69, CHAR(10)))),
        {Capabilities!$E:$E, Capabilities!R:R},
        2,
        FALSE
      ) * 1,
      0
    )
  )
)"),46204.0)</f>
        <v>46204</v>
      </c>
      <c r="P69" s="226">
        <f>IFERROR(__xludf.DUMMYFUNCTION("MAX(
  ARRAYFORMULA(
    IFERROR(
      VLOOKUP(
        TRANSPOSE(ARRAYFORMULA(SPLIT(K69, CHAR(10)))),
        {Capabilities!$E:$E, Capabilities!S:S},
        2,
        FALSE
      ) * 1,
      0
    )
  )
)"),46296.0)</f>
        <v>46296</v>
      </c>
      <c r="Q69" s="313"/>
      <c r="R69" s="314"/>
      <c r="S69" s="314"/>
    </row>
    <row r="70" ht="30.75" customHeight="1" outlineLevel="1">
      <c r="A70" s="259"/>
      <c r="B70" s="273" t="s">
        <v>780</v>
      </c>
      <c r="C70" s="368" t="s">
        <v>781</v>
      </c>
      <c r="D70" s="241" t="s">
        <v>323</v>
      </c>
      <c r="E70" s="340" t="s">
        <v>588</v>
      </c>
      <c r="F70" s="310" t="s">
        <v>366</v>
      </c>
      <c r="G70" s="231" t="s">
        <v>628</v>
      </c>
      <c r="H70" s="329"/>
      <c r="I70" s="329"/>
      <c r="J70" s="330" t="s">
        <v>340</v>
      </c>
      <c r="K70" s="331" t="s">
        <v>782</v>
      </c>
      <c r="L70" s="370" t="str">
        <f>IFERROR(__xludf.DUMMYFUNCTION("IF(COUNTBLANK(B70)&gt;0, """", IFERROR(JOIN("", ""&amp;CHAR(10), FILTER(IMPORTRANGE(""https://docs.google.com/spreadsheets/d/1Fgd7GP5RUQxajuAkULlL-NwY6xKNVDzD6d9lnxn5Xks/"", ""IGNORE: Issues/Risks!$E$5:$E$200""), 
ISNUMBER(SEARCH(B70, IMPORTRANGE(""https://docs."&amp;"google.com/spreadsheets/d/1Fgd7GP5RUQxajuAkULlL-NwY6xKNVDzD6d9lnxn5Xks/"", ""IGNORE: Issues/Risks!$J$5:$J$200""))))), ""No Match"")
)"),"No Match")</f>
        <v>No Match</v>
      </c>
      <c r="M70" s="226"/>
      <c r="N70" s="226"/>
      <c r="O70" s="226"/>
      <c r="P70" s="226"/>
      <c r="Q70" s="313"/>
      <c r="R70" s="314"/>
      <c r="S70" s="314"/>
    </row>
    <row r="71" ht="30.75" customHeight="1" outlineLevel="1">
      <c r="A71" s="259"/>
      <c r="B71" s="273" t="s">
        <v>783</v>
      </c>
      <c r="C71" s="371" t="s">
        <v>784</v>
      </c>
      <c r="D71" s="241" t="s">
        <v>323</v>
      </c>
      <c r="E71" s="340" t="s">
        <v>588</v>
      </c>
      <c r="F71" s="310" t="s">
        <v>366</v>
      </c>
      <c r="G71" s="231" t="s">
        <v>628</v>
      </c>
      <c r="H71" s="329"/>
      <c r="I71" s="329"/>
      <c r="J71" s="330" t="s">
        <v>340</v>
      </c>
      <c r="K71" s="331" t="s">
        <v>785</v>
      </c>
      <c r="L71" s="369" t="str">
        <f>IFERROR(__xludf.DUMMYFUNCTION("IF(COUNTBLANK(B71)&gt;0, """", IFERROR(JOIN("", ""&amp;CHAR(10), FILTER(IMPORTRANGE(""https://docs.google.com/spreadsheets/d/1Fgd7GP5RUQxajuAkULlL-NwY6xKNVDzD6d9lnxn5Xks/"", ""IGNORE: Issues/Risks!$E$5:$E$200""), 
ISNUMBER(SEARCH(B71, IMPORTRANGE(""https://docs."&amp;"google.com/spreadsheets/d/1Fgd7GP5RUQxajuAkULlL-NwY6xKNVDzD6d9lnxn5Xks/"", ""IGNORE: Issues/Risks!$J$5:$J$200""))))), ""No Match"")
)"),"No Match")</f>
        <v>No Match</v>
      </c>
      <c r="M71" s="226">
        <f>IFERROR(__xludf.DUMMYFUNCTION("MIN(
  ARRAYFORMULA(
    IFERROR(
      VLOOKUP(
        TRANSPOSE(ARRAYFORMULA(SPLIT(K71, CHAR(10)))),
        {Capabilities!$E:$E, Capabilities!P:P},
        2,
        FALSE
      ) * 1,
      9999999
    )
  )
)"),46023.0)</f>
        <v>46023</v>
      </c>
      <c r="N71" s="226">
        <f>IFERROR(__xludf.DUMMYFUNCTION("MAX(
  ARRAYFORMULA(
    IFERROR(
      VLOOKUP(
        TRANSPOSE(ARRAYFORMULA(SPLIT(K71, CHAR(10)))),
        {Capabilities!$E:$E, Capabilities!Q:Q},
        2,
        FALSE
      ) * 1,
      0
    )
  )
)"),46204.0)</f>
        <v>46204</v>
      </c>
      <c r="O71" s="226">
        <f>IFERROR(__xludf.DUMMYFUNCTION("MAX(
  ARRAYFORMULA(
    IFERROR(
      VLOOKUP(
        TRANSPOSE(ARRAYFORMULA(SPLIT(K71, CHAR(10)))),
        {Capabilities!$E:$E, Capabilities!R:R},
        2,
        FALSE
      ) * 1,
      0
    )
  )
)"),46296.0)</f>
        <v>46296</v>
      </c>
      <c r="P71" s="226">
        <f>IFERROR(__xludf.DUMMYFUNCTION("MAX(
  ARRAYFORMULA(
    IFERROR(
      VLOOKUP(
        TRANSPOSE(ARRAYFORMULA(SPLIT(K71, CHAR(10)))),
        {Capabilities!$E:$E, Capabilities!S:S},
        2,
        FALSE
      ) * 1,
      0
    )
  )
)"),46388.0)</f>
        <v>46388</v>
      </c>
      <c r="Q71" s="313"/>
      <c r="R71" s="314"/>
      <c r="S71" s="314"/>
    </row>
    <row r="72" ht="30.75" customHeight="1" outlineLevel="1">
      <c r="A72" s="259"/>
      <c r="B72" s="273" t="s">
        <v>786</v>
      </c>
      <c r="C72" s="371" t="s">
        <v>787</v>
      </c>
      <c r="D72" s="241" t="s">
        <v>323</v>
      </c>
      <c r="E72" s="340" t="s">
        <v>588</v>
      </c>
      <c r="F72" s="310" t="s">
        <v>366</v>
      </c>
      <c r="G72" s="231" t="s">
        <v>628</v>
      </c>
      <c r="H72" s="329"/>
      <c r="I72" s="329"/>
      <c r="J72" s="330" t="s">
        <v>340</v>
      </c>
      <c r="K72" s="331" t="s">
        <v>788</v>
      </c>
      <c r="L72" s="370" t="str">
        <f>IFERROR(__xludf.DUMMYFUNCTION("IF(COUNTBLANK(B72)&gt;0, """", IFERROR(JOIN("", ""&amp;CHAR(10), FILTER(IMPORTRANGE(""https://docs.google.com/spreadsheets/d/1Fgd7GP5RUQxajuAkULlL-NwY6xKNVDzD6d9lnxn5Xks/"", ""IGNORE: Issues/Risks!$E$5:$E$200""), 
ISNUMBER(SEARCH(B72, IMPORTRANGE(""https://docs."&amp;"google.com/spreadsheets/d/1Fgd7GP5RUQxajuAkULlL-NwY6xKNVDzD6d9lnxn5Xks/"", ""IGNORE: Issues/Risks!$J$5:$J$200""))))), ""No Match"")
)"),"No Match")</f>
        <v>No Match</v>
      </c>
      <c r="M72" s="226">
        <f>IFERROR(__xludf.DUMMYFUNCTION("MIN(
  ARRAYFORMULA(
    IFERROR(
      VLOOKUP(
        TRANSPOSE(ARRAYFORMULA(SPLIT(K72, CHAR(10)))),
        {Capabilities!$E:$E, Capabilities!P:P},
        2,
        FALSE
      ) * 1,
      9999999
    )
  )
)"),46023.0)</f>
        <v>46023</v>
      </c>
      <c r="N72" s="226">
        <f>IFERROR(__xludf.DUMMYFUNCTION("MAX(
  ARRAYFORMULA(
    IFERROR(
      VLOOKUP(
        TRANSPOSE(ARRAYFORMULA(SPLIT(K72, CHAR(10)))),
        {Capabilities!$E:$E, Capabilities!Q:Q},
        2,
        FALSE
      ) * 1,
      0
    )
  )
)"),46204.0)</f>
        <v>46204</v>
      </c>
      <c r="O72" s="226">
        <f>IFERROR(__xludf.DUMMYFUNCTION("MAX(
  ARRAYFORMULA(
    IFERROR(
      VLOOKUP(
        TRANSPOSE(ARRAYFORMULA(SPLIT(K72, CHAR(10)))),
        {Capabilities!$E:$E, Capabilities!R:R},
        2,
        FALSE
      ) * 1,
      0
    )
  )
)"),46296.0)</f>
        <v>46296</v>
      </c>
      <c r="P72" s="226">
        <f>IFERROR(__xludf.DUMMYFUNCTION("MAX(
  ARRAYFORMULA(
    IFERROR(
      VLOOKUP(
        TRANSPOSE(ARRAYFORMULA(SPLIT(K72, CHAR(10)))),
        {Capabilities!$E:$E, Capabilities!S:S},
        2,
        FALSE
      ) * 1,
      0
    )
  )
)"),46388.0)</f>
        <v>46388</v>
      </c>
      <c r="Q72" s="313"/>
      <c r="R72" s="314"/>
      <c r="S72" s="314"/>
    </row>
    <row r="73" ht="30.75" customHeight="1" outlineLevel="1">
      <c r="A73" s="259"/>
      <c r="B73" s="298"/>
      <c r="C73" s="299"/>
      <c r="D73" s="241"/>
      <c r="E73" s="299"/>
      <c r="F73" s="290"/>
      <c r="G73" s="299"/>
      <c r="H73" s="290"/>
      <c r="I73" s="290"/>
      <c r="J73" s="290"/>
      <c r="K73" s="291"/>
      <c r="L73" s="277" t="str">
        <f>IFERROR(__xludf.DUMMYFUNCTION("IF(COUNTBLANK(B73)&gt;0, """", IFERROR(JOIN("", ""&amp;CHAR(10), FILTER(IMPORTRANGE(""https://docs.google.com/spreadsheets/d/1Fgd7GP5RUQxajuAkULlL-NwY6xKNVDzD6d9lnxn5Xks/"", ""IGNORE: Issues/Risks!$E$5:$E$200""), 
ISNUMBER(SEARCH(B73, IMPORTRANGE(""https://docs."&amp;"google.com/spreadsheets/d/1Fgd7GP5RUQxajuAkULlL-NwY6xKNVDzD6d9lnxn5Xks/"", ""IGNORE: Issues/Risks!$J$5:$J$200""))))), ""No Match"")
)"),"")</f>
        <v/>
      </c>
      <c r="M73" s="247"/>
      <c r="N73" s="247"/>
      <c r="O73" s="247"/>
      <c r="P73" s="247"/>
      <c r="Q73" s="292"/>
      <c r="R73" s="292"/>
      <c r="S73" s="292"/>
    </row>
    <row r="74" ht="30.75" customHeight="1">
      <c r="A74" s="248" t="s">
        <v>789</v>
      </c>
      <c r="B74" s="343" t="s">
        <v>790</v>
      </c>
      <c r="C74" s="372" t="s">
        <v>791</v>
      </c>
      <c r="D74" s="251" t="s">
        <v>323</v>
      </c>
      <c r="E74" s="335" t="s">
        <v>588</v>
      </c>
      <c r="F74" s="253" t="s">
        <v>366</v>
      </c>
      <c r="G74" s="373" t="s">
        <v>281</v>
      </c>
      <c r="H74" s="302"/>
      <c r="I74" s="302"/>
      <c r="J74" s="253" t="s">
        <v>792</v>
      </c>
      <c r="K74" s="303" t="s">
        <v>101</v>
      </c>
      <c r="L74" s="304" t="str">
        <f>IFERROR(__xludf.DUMMYFUNCTION("IF(COUNTBLANK(B74)&gt;0, """", IFERROR(JOIN("", ""&amp;CHAR(10), FILTER(IMPORTRANGE(""https://docs.google.com/spreadsheets/d/1Fgd7GP5RUQxajuAkULlL-NwY6xKNVDzD6d9lnxn5Xks/"", ""IGNORE: Issues/Risks!$E$5:$E$200""), 
ISNUMBER(SEARCH(B74, IMPORTRANGE(""https://docs."&amp;"google.com/spreadsheets/d/1Fgd7GP5RUQxajuAkULlL-NwY6xKNVDzD6d9lnxn5Xks/"", ""IGNORE: Issues/Risks!$J$5:$J$200""))))), ""No Match"")
)"),"No Match")</f>
        <v>No Match</v>
      </c>
      <c r="M74" s="226"/>
      <c r="N74" s="226"/>
      <c r="O74" s="226"/>
      <c r="P74" s="226"/>
      <c r="Q74" s="305"/>
      <c r="R74" s="306"/>
      <c r="S74" s="306"/>
    </row>
    <row r="75" ht="30.75" customHeight="1" outlineLevel="1">
      <c r="A75" s="259"/>
      <c r="B75" s="355" t="s">
        <v>793</v>
      </c>
      <c r="C75" s="374" t="s">
        <v>794</v>
      </c>
      <c r="D75" s="219" t="s">
        <v>323</v>
      </c>
      <c r="E75" s="340" t="s">
        <v>588</v>
      </c>
      <c r="F75" s="320" t="s">
        <v>366</v>
      </c>
      <c r="G75" s="375" t="s">
        <v>628</v>
      </c>
      <c r="H75" s="376"/>
      <c r="I75" s="376"/>
      <c r="J75" s="320" t="s">
        <v>792</v>
      </c>
      <c r="K75" s="317" t="s">
        <v>101</v>
      </c>
      <c r="L75" s="312" t="str">
        <f>IFERROR(__xludf.DUMMYFUNCTION("IF(COUNTBLANK(B75)&gt;0, """", IFERROR(JOIN("", ""&amp;CHAR(10), FILTER(IMPORTRANGE(""https://docs.google.com/spreadsheets/d/1Fgd7GP5RUQxajuAkULlL-NwY6xKNVDzD6d9lnxn5Xks/"", ""IGNORE: Issues/Risks!$E$5:$E$200""), 
ISNUMBER(SEARCH(B75, IMPORTRANGE(""https://docs."&amp;"google.com/spreadsheets/d/1Fgd7GP5RUQxajuAkULlL-NwY6xKNVDzD6d9lnxn5Xks/"", ""IGNORE: Issues/Risks!$J$5:$J$200""))))), ""No Match"")
)"),"No Match")</f>
        <v>No Match</v>
      </c>
      <c r="M75" s="226"/>
      <c r="N75" s="226"/>
      <c r="O75" s="226"/>
      <c r="P75" s="226"/>
      <c r="Q75" s="319"/>
      <c r="R75" s="377"/>
      <c r="S75" s="377"/>
    </row>
    <row r="76" ht="30.75" customHeight="1" outlineLevel="1">
      <c r="A76" s="259"/>
      <c r="B76" s="269" t="s">
        <v>795</v>
      </c>
      <c r="C76" s="272" t="s">
        <v>796</v>
      </c>
      <c r="D76" s="230" t="s">
        <v>323</v>
      </c>
      <c r="E76" s="340" t="s">
        <v>588</v>
      </c>
      <c r="F76" s="320" t="s">
        <v>366</v>
      </c>
      <c r="G76" s="375" t="s">
        <v>628</v>
      </c>
      <c r="H76" s="376"/>
      <c r="I76" s="376"/>
      <c r="J76" s="320" t="s">
        <v>797</v>
      </c>
      <c r="K76" s="321" t="s">
        <v>798</v>
      </c>
      <c r="L76" s="378" t="str">
        <f>IFERROR(__xludf.DUMMYFUNCTION("IF(COUNTBLANK(B76)&gt;0, """", IFERROR(JOIN("", ""&amp;CHAR(10), FILTER(IMPORTRANGE(""https://docs.google.com/spreadsheets/d/1Fgd7GP5RUQxajuAkULlL-NwY6xKNVDzD6d9lnxn5Xks/"", ""IGNORE: Issues/Risks!$E$5:$E$200""), 
ISNUMBER(SEARCH(B76, IMPORTRANGE(""https://docs."&amp;"google.com/spreadsheets/d/1Fgd7GP5RUQxajuAkULlL-NwY6xKNVDzD6d9lnxn5Xks/"", ""IGNORE: Issues/Risks!$J$5:$J$200""))))), ""No Match"")
)"),"No Match")</f>
        <v>No Match</v>
      </c>
      <c r="M76" s="226">
        <f>IFERROR(__xludf.DUMMYFUNCTION("MIN(
  ARRAYFORMULA(
    IFERROR(
      VLOOKUP(
        TRANSPOSE(ARRAYFORMULA(SPLIT(K76, CHAR(10)))),
        {Capabilities!$E:$E, Capabilities!P:P},
        2,
        FALSE
      ) * 1,
      9999999
    )
  )
)"),45901.0)</f>
        <v>45901</v>
      </c>
      <c r="N76" s="226">
        <f>IFERROR(__xludf.DUMMYFUNCTION("MAX(
  ARRAYFORMULA(
    IFERROR(
      VLOOKUP(
        TRANSPOSE(ARRAYFORMULA(SPLIT(K76, CHAR(10)))),
        {Capabilities!$E:$E, Capabilities!Q:Q},
        2,
        FALSE
      ) * 1,
      0
    )
  )
)"),46023.0)</f>
        <v>46023</v>
      </c>
      <c r="O76" s="226">
        <f>IFERROR(__xludf.DUMMYFUNCTION("MAX(
  ARRAYFORMULA(
    IFERROR(
      VLOOKUP(
        TRANSPOSE(ARRAYFORMULA(SPLIT(K76, CHAR(10)))),
        {Capabilities!$E:$E, Capabilities!R:R},
        2,
        FALSE
      ) * 1,
      0
    )
  )
)"),46113.0)</f>
        <v>46113</v>
      </c>
      <c r="P76" s="226">
        <f>IFERROR(__xludf.DUMMYFUNCTION("MAX(
  ARRAYFORMULA(
    IFERROR(
      VLOOKUP(
        TRANSPOSE(ARRAYFORMULA(SPLIT(K76, CHAR(10)))),
        {Capabilities!$E:$E, Capabilities!S:S},
        2,
        FALSE
      ) * 1,
      0
    )
  )
)"),46204.0)</f>
        <v>46204</v>
      </c>
      <c r="Q76" s="323"/>
      <c r="R76" s="377"/>
      <c r="S76" s="377"/>
    </row>
    <row r="77" ht="30.75" customHeight="1" outlineLevel="1">
      <c r="A77" s="259"/>
      <c r="B77" s="269" t="s">
        <v>799</v>
      </c>
      <c r="C77" s="272" t="s">
        <v>800</v>
      </c>
      <c r="D77" s="230" t="s">
        <v>323</v>
      </c>
      <c r="E77" s="340" t="s">
        <v>588</v>
      </c>
      <c r="F77" s="320" t="s">
        <v>366</v>
      </c>
      <c r="G77" s="375" t="s">
        <v>628</v>
      </c>
      <c r="H77" s="376"/>
      <c r="I77" s="376"/>
      <c r="J77" s="320"/>
      <c r="K77" s="321" t="s">
        <v>801</v>
      </c>
      <c r="L77" s="322" t="str">
        <f>IFERROR(__xludf.DUMMYFUNCTION("IF(COUNTBLANK(B77)&gt;0, """", IFERROR(JOIN("", ""&amp;CHAR(10), FILTER(IMPORTRANGE(""https://docs.google.com/spreadsheets/d/1Fgd7GP5RUQxajuAkULlL-NwY6xKNVDzD6d9lnxn5Xks/"", ""IGNORE: Issues/Risks!$E$5:$E$200""), 
ISNUMBER(SEARCH(B77, IMPORTRANGE(""https://docs."&amp;"google.com/spreadsheets/d/1Fgd7GP5RUQxajuAkULlL-NwY6xKNVDzD6d9lnxn5Xks/"", ""IGNORE: Issues/Risks!$J$5:$J$200""))))), ""No Match"")
)"),"No Match")</f>
        <v>No Match</v>
      </c>
      <c r="M77" s="226">
        <f>IFERROR(__xludf.DUMMYFUNCTION("MIN(
  ARRAYFORMULA(
    IFERROR(
      VLOOKUP(
        TRANSPOSE(ARRAYFORMULA(SPLIT(K77, CHAR(10)))),
        {Capabilities!$E:$E, Capabilities!P:P},
        2,
        FALSE
      ) * 1,
      9999999
    )
  )
)"),45901.0)</f>
        <v>45901</v>
      </c>
      <c r="N77" s="226">
        <f>IFERROR(__xludf.DUMMYFUNCTION("MAX(
  ARRAYFORMULA(
    IFERROR(
      VLOOKUP(
        TRANSPOSE(ARRAYFORMULA(SPLIT(K77, CHAR(10)))),
        {Capabilities!$E:$E, Capabilities!Q:Q},
        2,
        FALSE
      ) * 1,
      0
    )
  )
)"),46113.0)</f>
        <v>46113</v>
      </c>
      <c r="O77" s="226">
        <f>IFERROR(__xludf.DUMMYFUNCTION("MAX(
  ARRAYFORMULA(
    IFERROR(
      VLOOKUP(
        TRANSPOSE(ARRAYFORMULA(SPLIT(K77, CHAR(10)))),
        {Capabilities!$E:$E, Capabilities!R:R},
        2,
        FALSE
      ) * 1,
      0
    )
  )
)"),46204.0)</f>
        <v>46204</v>
      </c>
      <c r="P77" s="226">
        <f>IFERROR(__xludf.DUMMYFUNCTION("MAX(
  ARRAYFORMULA(
    IFERROR(
      VLOOKUP(
        TRANSPOSE(ARRAYFORMULA(SPLIT(K77, CHAR(10)))),
        {Capabilities!$E:$E, Capabilities!S:S},
        2,
        FALSE
      ) * 1,
      0
    )
  )
)"),46296.0)</f>
        <v>46296</v>
      </c>
      <c r="Q77" s="323"/>
      <c r="R77" s="377"/>
      <c r="S77" s="377"/>
    </row>
    <row r="78" ht="30.75" customHeight="1" outlineLevel="1">
      <c r="A78" s="259"/>
      <c r="B78" s="379"/>
      <c r="C78" s="380"/>
      <c r="D78" s="241"/>
      <c r="E78" s="381"/>
      <c r="F78" s="382"/>
      <c r="G78" s="381"/>
      <c r="H78" s="382"/>
      <c r="I78" s="382"/>
      <c r="J78" s="382"/>
      <c r="K78" s="383"/>
      <c r="L78" s="280" t="str">
        <f>IFERROR(__xludf.DUMMYFUNCTION("IF(COUNTBLANK(B78)&gt;0, """", IFERROR(JOIN("", ""&amp;CHAR(10), FILTER(IMPORTRANGE(""https://docs.google.com/spreadsheets/d/1Fgd7GP5RUQxajuAkULlL-NwY6xKNVDzD6d9lnxn5Xks/"", ""IGNORE: Issues/Risks!$E$5:$E$200""), 
ISNUMBER(SEARCH(B78, IMPORTRANGE(""https://docs."&amp;"google.com/spreadsheets/d/1Fgd7GP5RUQxajuAkULlL-NwY6xKNVDzD6d9lnxn5Xks/"", ""IGNORE: Issues/Risks!$J$5:$J$200""))))), ""No Match"")
)"),"")</f>
        <v/>
      </c>
      <c r="M78" s="247"/>
      <c r="N78" s="247"/>
      <c r="O78" s="247"/>
      <c r="P78" s="247"/>
      <c r="Q78" s="384"/>
      <c r="R78" s="384"/>
      <c r="S78" s="384"/>
    </row>
    <row r="79" ht="30.75" customHeight="1">
      <c r="A79" s="248" t="s">
        <v>802</v>
      </c>
      <c r="B79" s="343" t="s">
        <v>803</v>
      </c>
      <c r="C79" s="372" t="s">
        <v>804</v>
      </c>
      <c r="D79" s="251" t="s">
        <v>323</v>
      </c>
      <c r="E79" s="335" t="s">
        <v>588</v>
      </c>
      <c r="F79" s="385" t="s">
        <v>366</v>
      </c>
      <c r="G79" s="386" t="s">
        <v>628</v>
      </c>
      <c r="H79" s="387"/>
      <c r="I79" s="387"/>
      <c r="J79" s="387"/>
      <c r="K79" s="388" t="s">
        <v>805</v>
      </c>
      <c r="L79" s="389" t="str">
        <f>IFERROR(__xludf.DUMMYFUNCTION("IF(COUNTBLANK(B79)&gt;0, """", IFERROR(JOIN("", ""&amp;CHAR(10), FILTER(IMPORTRANGE(""https://docs.google.com/spreadsheets/d/1Fgd7GP5RUQxajuAkULlL-NwY6xKNVDzD6d9lnxn5Xks/"", ""IGNORE: Issues/Risks!$E$5:$E$200""), 
ISNUMBER(SEARCH(B79, IMPORTRANGE(""https://docs."&amp;"google.com/spreadsheets/d/1Fgd7GP5RUQxajuAkULlL-NwY6xKNVDzD6d9lnxn5Xks/"", ""IGNORE: Issues/Risks!$J$5:$J$200""))))), ""No Match"")
)"),"No Match")</f>
        <v>No Match</v>
      </c>
      <c r="M79" s="226">
        <f>IFERROR(__xludf.DUMMYFUNCTION("MIN(
  ARRAYFORMULA(
    IFERROR(
      VLOOKUP(
        TRANSPOSE(ARRAYFORMULA(SPLIT(K79, CHAR(10)))),
        {Capabilities!$E:$E, Capabilities!P:P},
        2,
        FALSE
      ) * 1,
      9999999
    )
  )
)"),45901.0)</f>
        <v>45901</v>
      </c>
      <c r="N79" s="226">
        <f>IFERROR(__xludf.DUMMYFUNCTION("MAX(
  ARRAYFORMULA(
    IFERROR(
      VLOOKUP(
        TRANSPOSE(ARRAYFORMULA(SPLIT(K79, CHAR(10)))),
        {Capabilities!$E:$E, Capabilities!Q:Q},
        2,
        FALSE
      ) * 1,
      0
    )
  )
)"),46023.0)</f>
        <v>46023</v>
      </c>
      <c r="O79" s="226">
        <f>IFERROR(__xludf.DUMMYFUNCTION("MAX(
  ARRAYFORMULA(
    IFERROR(
      VLOOKUP(
        TRANSPOSE(ARRAYFORMULA(SPLIT(K79, CHAR(10)))),
        {Capabilities!$E:$E, Capabilities!R:R},
        2,
        FALSE
      ) * 1,
      0
    )
  )
)"),46113.0)</f>
        <v>46113</v>
      </c>
      <c r="P79" s="226">
        <f>IFERROR(__xludf.DUMMYFUNCTION("MAX(
  ARRAYFORMULA(
    IFERROR(
      VLOOKUP(
        TRANSPOSE(ARRAYFORMULA(SPLIT(K79, CHAR(10)))),
        {Capabilities!$E:$E, Capabilities!S:S},
        2,
        FALSE
      ) * 1,
      0
    )
  )
)"),46204.0)</f>
        <v>46204</v>
      </c>
      <c r="Q79" s="323"/>
      <c r="R79" s="390"/>
      <c r="S79" s="390"/>
    </row>
    <row r="80" ht="30.75" customHeight="1" outlineLevel="1">
      <c r="A80" s="259"/>
      <c r="B80" s="269" t="s">
        <v>806</v>
      </c>
      <c r="C80" s="272" t="s">
        <v>807</v>
      </c>
      <c r="D80" s="230" t="s">
        <v>323</v>
      </c>
      <c r="E80" s="340" t="s">
        <v>588</v>
      </c>
      <c r="F80" s="320" t="s">
        <v>366</v>
      </c>
      <c r="G80" s="375" t="s">
        <v>628</v>
      </c>
      <c r="H80" s="376"/>
      <c r="I80" s="376"/>
      <c r="J80" s="376"/>
      <c r="K80" s="391" t="s">
        <v>808</v>
      </c>
      <c r="L80" s="392" t="str">
        <f>IFERROR(__xludf.DUMMYFUNCTION("IF(COUNTBLANK(B80)&gt;0, """", IFERROR(JOIN("", ""&amp;CHAR(10), FILTER(IMPORTRANGE(""https://docs.google.com/spreadsheets/d/1Fgd7GP5RUQxajuAkULlL-NwY6xKNVDzD6d9lnxn5Xks/"", ""IGNORE: Issues/Risks!$E$5:$E$200""), 
ISNUMBER(SEARCH(B80, IMPORTRANGE(""https://docs."&amp;"google.com/spreadsheets/d/1Fgd7GP5RUQxajuAkULlL-NwY6xKNVDzD6d9lnxn5Xks/"", ""IGNORE: Issues/Risks!$J$5:$J$200""))))), ""No Match"")
)"),"No Match")</f>
        <v>No Match</v>
      </c>
      <c r="M80" s="226">
        <f>IFERROR(__xludf.DUMMYFUNCTION("MIN(
  ARRAYFORMULA(
    IFERROR(
      VLOOKUP(
        TRANSPOSE(ARRAYFORMULA(SPLIT(K80, CHAR(10)))),
        {Capabilities!$E:$E, Capabilities!P:P},
        2,
        FALSE
      ) * 1,
      9999999
    )
  )
)"),45901.0)</f>
        <v>45901</v>
      </c>
      <c r="N80" s="226">
        <f>IFERROR(__xludf.DUMMYFUNCTION("MAX(
  ARRAYFORMULA(
    IFERROR(
      VLOOKUP(
        TRANSPOSE(ARRAYFORMULA(SPLIT(K80, CHAR(10)))),
        {Capabilities!$E:$E, Capabilities!Q:Q},
        2,
        FALSE
      ) * 1,
      0
    )
  )
)"),46113.0)</f>
        <v>46113</v>
      </c>
      <c r="O80" s="226">
        <f>IFERROR(__xludf.DUMMYFUNCTION("MAX(
  ARRAYFORMULA(
    IFERROR(
      VLOOKUP(
        TRANSPOSE(ARRAYFORMULA(SPLIT(K80, CHAR(10)))),
        {Capabilities!$E:$E, Capabilities!R:R},
        2,
        FALSE
      ) * 1,
      0
    )
  )
)"),46204.0)</f>
        <v>46204</v>
      </c>
      <c r="P80" s="226">
        <f>IFERROR(__xludf.DUMMYFUNCTION("MAX(
  ARRAYFORMULA(
    IFERROR(
      VLOOKUP(
        TRANSPOSE(ARRAYFORMULA(SPLIT(K80, CHAR(10)))),
        {Capabilities!$E:$E, Capabilities!S:S},
        2,
        FALSE
      ) * 1,
      0
    )
  )
)"),46296.0)</f>
        <v>46296</v>
      </c>
      <c r="Q80" s="323"/>
      <c r="R80" s="390"/>
      <c r="S80" s="390"/>
    </row>
    <row r="81" ht="30.75" customHeight="1" outlineLevel="1">
      <c r="A81" s="259"/>
      <c r="B81" s="269" t="s">
        <v>809</v>
      </c>
      <c r="C81" s="272" t="s">
        <v>810</v>
      </c>
      <c r="D81" s="230" t="s">
        <v>323</v>
      </c>
      <c r="E81" s="340" t="s">
        <v>588</v>
      </c>
      <c r="F81" s="320" t="s">
        <v>366</v>
      </c>
      <c r="G81" s="375" t="s">
        <v>628</v>
      </c>
      <c r="H81" s="376"/>
      <c r="I81" s="376"/>
      <c r="J81" s="376"/>
      <c r="K81" s="393" t="s">
        <v>805</v>
      </c>
      <c r="L81" s="394" t="str">
        <f>IFERROR(__xludf.DUMMYFUNCTION("IF(COUNTBLANK(B81)&gt;0, """", IFERROR(JOIN("", ""&amp;CHAR(10), FILTER(IMPORTRANGE(""https://docs.google.com/spreadsheets/d/1Fgd7GP5RUQxajuAkULlL-NwY6xKNVDzD6d9lnxn5Xks/"", ""IGNORE: Issues/Risks!$E$5:$E$200""), 
ISNUMBER(SEARCH(B81, IMPORTRANGE(""https://docs."&amp;"google.com/spreadsheets/d/1Fgd7GP5RUQxajuAkULlL-NwY6xKNVDzD6d9lnxn5Xks/"", ""IGNORE: Issues/Risks!$J$5:$J$200""))))), ""No Match"")
)"),"No Match")</f>
        <v>No Match</v>
      </c>
      <c r="M81" s="226">
        <f>IFERROR(__xludf.DUMMYFUNCTION("MIN(
  ARRAYFORMULA(
    IFERROR(
      VLOOKUP(
        TRANSPOSE(ARRAYFORMULA(SPLIT(K81, CHAR(10)))),
        {Capabilities!$E:$E, Capabilities!P:P},
        2,
        FALSE
      ) * 1,
      9999999
    )
  )
)"),45901.0)</f>
        <v>45901</v>
      </c>
      <c r="N81" s="226">
        <f>IFERROR(__xludf.DUMMYFUNCTION("MAX(
  ARRAYFORMULA(
    IFERROR(
      VLOOKUP(
        TRANSPOSE(ARRAYFORMULA(SPLIT(K81, CHAR(10)))),
        {Capabilities!$E:$E, Capabilities!Q:Q},
        2,
        FALSE
      ) * 1,
      0
    )
  )
)"),46023.0)</f>
        <v>46023</v>
      </c>
      <c r="O81" s="226">
        <f>IFERROR(__xludf.DUMMYFUNCTION("MAX(
  ARRAYFORMULA(
    IFERROR(
      VLOOKUP(
        TRANSPOSE(ARRAYFORMULA(SPLIT(K81, CHAR(10)))),
        {Capabilities!$E:$E, Capabilities!R:R},
        2,
        FALSE
      ) * 1,
      0
    )
  )
)"),46113.0)</f>
        <v>46113</v>
      </c>
      <c r="P81" s="226">
        <f>IFERROR(__xludf.DUMMYFUNCTION("MAX(
  ARRAYFORMULA(
    IFERROR(
      VLOOKUP(
        TRANSPOSE(ARRAYFORMULA(SPLIT(K81, CHAR(10)))),
        {Capabilities!$E:$E, Capabilities!S:S},
        2,
        FALSE
      ) * 1,
      0
    )
  )
)"),46204.0)</f>
        <v>46204</v>
      </c>
      <c r="Q81" s="323"/>
      <c r="R81" s="390"/>
      <c r="S81" s="390"/>
    </row>
    <row r="82" ht="30.75" customHeight="1" outlineLevel="1">
      <c r="A82" s="259"/>
      <c r="B82" s="269" t="s">
        <v>811</v>
      </c>
      <c r="C82" s="272" t="s">
        <v>812</v>
      </c>
      <c r="D82" s="230" t="s">
        <v>323</v>
      </c>
      <c r="E82" s="340" t="s">
        <v>588</v>
      </c>
      <c r="F82" s="320" t="s">
        <v>366</v>
      </c>
      <c r="G82" s="375" t="s">
        <v>628</v>
      </c>
      <c r="H82" s="376"/>
      <c r="I82" s="376"/>
      <c r="J82" s="376"/>
      <c r="K82" s="321" t="s">
        <v>808</v>
      </c>
      <c r="L82" s="378" t="str">
        <f>IFERROR(__xludf.DUMMYFUNCTION("IF(COUNTBLANK(B82)&gt;0, """", IFERROR(JOIN("", ""&amp;CHAR(10), FILTER(IMPORTRANGE(""https://docs.google.com/spreadsheets/d/1Fgd7GP5RUQxajuAkULlL-NwY6xKNVDzD6d9lnxn5Xks/"", ""IGNORE: Issues/Risks!$E$5:$E$200""), 
ISNUMBER(SEARCH(B82, IMPORTRANGE(""https://docs."&amp;"google.com/spreadsheets/d/1Fgd7GP5RUQxajuAkULlL-NwY6xKNVDzD6d9lnxn5Xks/"", ""IGNORE: Issues/Risks!$J$5:$J$200""))))), ""No Match"")
)"),"No Match")</f>
        <v>No Match</v>
      </c>
      <c r="M82" s="226">
        <f>IFERROR(__xludf.DUMMYFUNCTION("MIN(
  ARRAYFORMULA(
    IFERROR(
      VLOOKUP(
        TRANSPOSE(ARRAYFORMULA(SPLIT(K82, CHAR(10)))),
        {Capabilities!$E:$E, Capabilities!P:P},
        2,
        FALSE
      ) * 1,
      9999999
    )
  )
)"),45901.0)</f>
        <v>45901</v>
      </c>
      <c r="N82" s="226">
        <f>IFERROR(__xludf.DUMMYFUNCTION("MAX(
  ARRAYFORMULA(
    IFERROR(
      VLOOKUP(
        TRANSPOSE(ARRAYFORMULA(SPLIT(K82, CHAR(10)))),
        {Capabilities!$E:$E, Capabilities!Q:Q},
        2,
        FALSE
      ) * 1,
      0
    )
  )
)"),46113.0)</f>
        <v>46113</v>
      </c>
      <c r="O82" s="226">
        <f>IFERROR(__xludf.DUMMYFUNCTION("MAX(
  ARRAYFORMULA(
    IFERROR(
      VLOOKUP(
        TRANSPOSE(ARRAYFORMULA(SPLIT(K82, CHAR(10)))),
        {Capabilities!$E:$E, Capabilities!R:R},
        2,
        FALSE
      ) * 1,
      0
    )
  )
)"),46204.0)</f>
        <v>46204</v>
      </c>
      <c r="P82" s="226">
        <f>IFERROR(__xludf.DUMMYFUNCTION("MAX(
  ARRAYFORMULA(
    IFERROR(
      VLOOKUP(
        TRANSPOSE(ARRAYFORMULA(SPLIT(K82, CHAR(10)))),
        {Capabilities!$E:$E, Capabilities!S:S},
        2,
        FALSE
      ) * 1,
      0
    )
  )
)"),46296.0)</f>
        <v>46296</v>
      </c>
      <c r="Q82" s="323"/>
      <c r="R82" s="390"/>
      <c r="S82" s="390"/>
    </row>
    <row r="83" ht="30.75" customHeight="1" outlineLevel="1">
      <c r="A83" s="259"/>
      <c r="B83" s="379"/>
      <c r="C83" s="380"/>
      <c r="D83" s="241"/>
      <c r="E83" s="381"/>
      <c r="F83" s="382"/>
      <c r="G83" s="381"/>
      <c r="H83" s="382"/>
      <c r="I83" s="382"/>
      <c r="J83" s="382"/>
      <c r="K83" s="383"/>
      <c r="L83" s="277" t="str">
        <f>IFERROR(__xludf.DUMMYFUNCTION("IF(COUNTBLANK(B83)&gt;0, """", IFERROR(JOIN("", ""&amp;CHAR(10), FILTER(IMPORTRANGE(""https://docs.google.com/spreadsheets/d/1Fgd7GP5RUQxajuAkULlL-NwY6xKNVDzD6d9lnxn5Xks/"", ""IGNORE: Issues/Risks!$E$5:$E$200""), 
ISNUMBER(SEARCH(B83, IMPORTRANGE(""https://docs."&amp;"google.com/spreadsheets/d/1Fgd7GP5RUQxajuAkULlL-NwY6xKNVDzD6d9lnxn5Xks/"", ""IGNORE: Issues/Risks!$J$5:$J$200""))))), ""No Match"")
)"),"")</f>
        <v/>
      </c>
      <c r="M83" s="247"/>
      <c r="N83" s="247"/>
      <c r="O83" s="247"/>
      <c r="P83" s="247"/>
      <c r="Q83" s="395"/>
      <c r="R83" s="395"/>
      <c r="S83" s="395"/>
    </row>
    <row r="84" ht="30.75" customHeight="1">
      <c r="A84" s="396" t="s">
        <v>813</v>
      </c>
      <c r="B84" s="343" t="s">
        <v>814</v>
      </c>
      <c r="C84" s="372" t="s">
        <v>815</v>
      </c>
      <c r="D84" s="251" t="s">
        <v>323</v>
      </c>
      <c r="E84" s="386" t="s">
        <v>588</v>
      </c>
      <c r="F84" s="385" t="s">
        <v>366</v>
      </c>
      <c r="G84" s="386" t="s">
        <v>628</v>
      </c>
      <c r="H84" s="385" t="s">
        <v>816</v>
      </c>
      <c r="I84" s="385"/>
      <c r="J84" s="385" t="s">
        <v>797</v>
      </c>
      <c r="K84" s="397" t="s">
        <v>817</v>
      </c>
      <c r="L84" s="398" t="str">
        <f>IFERROR(__xludf.DUMMYFUNCTION("IF(COUNTBLANK(B84)&gt;0, """", IFERROR(JOIN("", ""&amp;CHAR(10), FILTER(IMPORTRANGE(""https://docs.google.com/spreadsheets/d/1Fgd7GP5RUQxajuAkULlL-NwY6xKNVDzD6d9lnxn5Xks/"", ""IGNORE: Issues/Risks!$E$5:$E$200""), 
ISNUMBER(SEARCH(B84, IMPORTRANGE(""https://docs."&amp;"google.com/spreadsheets/d/1Fgd7GP5RUQxajuAkULlL-NwY6xKNVDzD6d9lnxn5Xks/"", ""IGNORE: Issues/Risks!$J$5:$J$200""))))), ""No Match"")
)"),"No Match")</f>
        <v>No Match</v>
      </c>
      <c r="M84" s="226">
        <f>IFERROR(__xludf.DUMMYFUNCTION("MIN(
  ARRAYFORMULA(
    IFERROR(
      VLOOKUP(
        TRANSPOSE(ARRAYFORMULA(SPLIT(K84, CHAR(10)))),
        {Capabilities!$E:$E, Capabilities!P:P},
        2,
        FALSE
      ) * 1,
      9999999
    )
  )
)"),45901.0)</f>
        <v>45901</v>
      </c>
      <c r="N84" s="226">
        <f>IFERROR(__xludf.DUMMYFUNCTION("MAX(
  ARRAYFORMULA(
    IFERROR(
      VLOOKUP(
        TRANSPOSE(ARRAYFORMULA(SPLIT(K84, CHAR(10)))),
        {Capabilities!$E:$E, Capabilities!Q:Q},
        2,
        FALSE
      ) * 1,
      0
    )
  )
)"),46023.0)</f>
        <v>46023</v>
      </c>
      <c r="O84" s="226">
        <f>IFERROR(__xludf.DUMMYFUNCTION("MAX(
  ARRAYFORMULA(
    IFERROR(
      VLOOKUP(
        TRANSPOSE(ARRAYFORMULA(SPLIT(K84, CHAR(10)))),
        {Capabilities!$E:$E, Capabilities!R:R},
        2,
        FALSE
      ) * 1,
      0
    )
  )
)"),46113.0)</f>
        <v>46113</v>
      </c>
      <c r="P84" s="226">
        <f>IFERROR(__xludf.DUMMYFUNCTION("MAX(
  ARRAYFORMULA(
    IFERROR(
      VLOOKUP(
        TRANSPOSE(ARRAYFORMULA(SPLIT(K84, CHAR(10)))),
        {Capabilities!$E:$E, Capabilities!S:S},
        2,
        FALSE
      ) * 1,
      0
    )
  )
)"),46204.0)</f>
        <v>46204</v>
      </c>
      <c r="Q84" s="399"/>
      <c r="R84" s="400"/>
      <c r="S84" s="401"/>
    </row>
    <row r="85" ht="30.75" customHeight="1" outlineLevel="1">
      <c r="A85" s="259"/>
      <c r="B85" s="269" t="s">
        <v>818</v>
      </c>
      <c r="C85" s="272" t="s">
        <v>819</v>
      </c>
      <c r="D85" s="230" t="s">
        <v>323</v>
      </c>
      <c r="E85" s="375" t="s">
        <v>588</v>
      </c>
      <c r="F85" s="320" t="s">
        <v>366</v>
      </c>
      <c r="G85" s="375" t="s">
        <v>628</v>
      </c>
      <c r="H85" s="320" t="s">
        <v>820</v>
      </c>
      <c r="I85" s="320"/>
      <c r="J85" s="320"/>
      <c r="K85" s="321" t="s">
        <v>101</v>
      </c>
      <c r="L85" s="322" t="str">
        <f>IFERROR(__xludf.DUMMYFUNCTION("IF(COUNTBLANK(B85)&gt;0, """", IFERROR(JOIN("", ""&amp;CHAR(10), FILTER(IMPORTRANGE(""https://docs.google.com/spreadsheets/d/1Fgd7GP5RUQxajuAkULlL-NwY6xKNVDzD6d9lnxn5Xks/"", ""IGNORE: Issues/Risks!$E$5:$E$200""), 
ISNUMBER(SEARCH(B85, IMPORTRANGE(""https://docs."&amp;"google.com/spreadsheets/d/1Fgd7GP5RUQxajuAkULlL-NwY6xKNVDzD6d9lnxn5Xks/"", ""IGNORE: Issues/Risks!$J$5:$J$200""))))), ""No Match"")
)"),"No Match")</f>
        <v>No Match</v>
      </c>
      <c r="M85" s="226"/>
      <c r="N85" s="226"/>
      <c r="O85" s="226"/>
      <c r="P85" s="226"/>
      <c r="Q85" s="323"/>
      <c r="R85" s="390"/>
      <c r="S85" s="402"/>
    </row>
    <row r="86" ht="30.75" customHeight="1" outlineLevel="1">
      <c r="A86" s="259"/>
      <c r="B86" s="269" t="s">
        <v>821</v>
      </c>
      <c r="C86" s="272" t="s">
        <v>822</v>
      </c>
      <c r="D86" s="230" t="s">
        <v>323</v>
      </c>
      <c r="E86" s="375" t="s">
        <v>588</v>
      </c>
      <c r="F86" s="320" t="s">
        <v>366</v>
      </c>
      <c r="G86" s="375" t="s">
        <v>628</v>
      </c>
      <c r="H86" s="376"/>
      <c r="I86" s="376"/>
      <c r="J86" s="320"/>
      <c r="K86" s="321" t="s">
        <v>101</v>
      </c>
      <c r="L86" s="378" t="str">
        <f>IFERROR(__xludf.DUMMYFUNCTION("IF(COUNTBLANK(B86)&gt;0, """", IFERROR(JOIN("", ""&amp;CHAR(10), FILTER(IMPORTRANGE(""https://docs.google.com/spreadsheets/d/1Fgd7GP5RUQxajuAkULlL-NwY6xKNVDzD6d9lnxn5Xks/"", ""IGNORE: Issues/Risks!$E$5:$E$200""), 
ISNUMBER(SEARCH(B86, IMPORTRANGE(""https://docs."&amp;"google.com/spreadsheets/d/1Fgd7GP5RUQxajuAkULlL-NwY6xKNVDzD6d9lnxn5Xks/"", ""IGNORE: Issues/Risks!$J$5:$J$200""))))), ""No Match"")
)"),"No Match")</f>
        <v>No Match</v>
      </c>
      <c r="M86" s="226"/>
      <c r="N86" s="226"/>
      <c r="O86" s="226"/>
      <c r="P86" s="226"/>
      <c r="Q86" s="323"/>
      <c r="R86" s="390"/>
      <c r="S86" s="402"/>
    </row>
    <row r="87" ht="30.75" customHeight="1" outlineLevel="1">
      <c r="A87" s="259"/>
      <c r="B87" s="269" t="s">
        <v>823</v>
      </c>
      <c r="C87" s="272" t="s">
        <v>824</v>
      </c>
      <c r="D87" s="230" t="s">
        <v>323</v>
      </c>
      <c r="E87" s="375" t="s">
        <v>588</v>
      </c>
      <c r="F87" s="320" t="s">
        <v>366</v>
      </c>
      <c r="G87" s="375" t="s">
        <v>628</v>
      </c>
      <c r="H87" s="320" t="s">
        <v>825</v>
      </c>
      <c r="I87" s="320"/>
      <c r="J87" s="320" t="s">
        <v>797</v>
      </c>
      <c r="K87" s="321" t="s">
        <v>826</v>
      </c>
      <c r="L87" s="322" t="str">
        <f>IFERROR(__xludf.DUMMYFUNCTION("IF(COUNTBLANK(B87)&gt;0, """", IFERROR(JOIN("", ""&amp;CHAR(10), FILTER(IMPORTRANGE(""https://docs.google.com/spreadsheets/d/1Fgd7GP5RUQxajuAkULlL-NwY6xKNVDzD6d9lnxn5Xks/"", ""IGNORE: Issues/Risks!$E$5:$E$200""), 
ISNUMBER(SEARCH(B87, IMPORTRANGE(""https://docs."&amp;"google.com/spreadsheets/d/1Fgd7GP5RUQxajuAkULlL-NwY6xKNVDzD6d9lnxn5Xks/"", ""IGNORE: Issues/Risks!$J$5:$J$200""))))), ""No Match"")
)"),"No Match")</f>
        <v>No Match</v>
      </c>
      <c r="M87" s="226">
        <f>IFERROR(__xludf.DUMMYFUNCTION("MIN(
  ARRAYFORMULA(
    IFERROR(
      VLOOKUP(
        TRANSPOSE(ARRAYFORMULA(SPLIT(K87, CHAR(10)))),
        {Capabilities!$E:$E, Capabilities!P:P},
        2,
        FALSE
      ) * 1,
      9999999
    )
  )
)"),46023.0)</f>
        <v>46023</v>
      </c>
      <c r="N87" s="226">
        <f>IFERROR(__xludf.DUMMYFUNCTION("MAX(
  ARRAYFORMULA(
    IFERROR(
      VLOOKUP(
        TRANSPOSE(ARRAYFORMULA(SPLIT(K87, CHAR(10)))),
        {Capabilities!$E:$E, Capabilities!Q:Q},
        2,
        FALSE
      ) * 1,
      0
    )
  )
)"),46204.0)</f>
        <v>46204</v>
      </c>
      <c r="O87" s="226">
        <f>IFERROR(__xludf.DUMMYFUNCTION("MAX(
  ARRAYFORMULA(
    IFERROR(
      VLOOKUP(
        TRANSPOSE(ARRAYFORMULA(SPLIT(K87, CHAR(10)))),
        {Capabilities!$E:$E, Capabilities!R:R},
        2,
        FALSE
      ) * 1,
      0
    )
  )
)"),46204.0)</f>
        <v>46204</v>
      </c>
      <c r="P87" s="226">
        <f>IFERROR(__xludf.DUMMYFUNCTION("MAX(
  ARRAYFORMULA(
    IFERROR(
      VLOOKUP(
        TRANSPOSE(ARRAYFORMULA(SPLIT(K87, CHAR(10)))),
        {Capabilities!$E:$E, Capabilities!S:S},
        2,
        FALSE
      ) * 1,
      0
    )
  )
)"),46296.0)</f>
        <v>46296</v>
      </c>
      <c r="Q87" s="323"/>
      <c r="R87" s="390"/>
      <c r="S87" s="390"/>
    </row>
    <row r="88" ht="30.75" customHeight="1" outlineLevel="1">
      <c r="A88" s="259"/>
      <c r="B88" s="269" t="s">
        <v>827</v>
      </c>
      <c r="C88" s="272" t="s">
        <v>828</v>
      </c>
      <c r="D88" s="230" t="s">
        <v>323</v>
      </c>
      <c r="E88" s="375" t="s">
        <v>588</v>
      </c>
      <c r="F88" s="320" t="s">
        <v>366</v>
      </c>
      <c r="G88" s="375" t="s">
        <v>628</v>
      </c>
      <c r="H88" s="376"/>
      <c r="I88" s="376"/>
      <c r="J88" s="320"/>
      <c r="K88" s="321" t="s">
        <v>101</v>
      </c>
      <c r="L88" s="378" t="str">
        <f>IFERROR(__xludf.DUMMYFUNCTION("IF(COUNTBLANK(B88)&gt;0, """", IFERROR(JOIN("", ""&amp;CHAR(10), FILTER(IMPORTRANGE(""https://docs.google.com/spreadsheets/d/1Fgd7GP5RUQxajuAkULlL-NwY6xKNVDzD6d9lnxn5Xks/"", ""IGNORE: Issues/Risks!$E$5:$E$200""), 
ISNUMBER(SEARCH(B88, IMPORTRANGE(""https://docs."&amp;"google.com/spreadsheets/d/1Fgd7GP5RUQxajuAkULlL-NwY6xKNVDzD6d9lnxn5Xks/"", ""IGNORE: Issues/Risks!$J$5:$J$200""))))), ""No Match"")
)"),"No Match")</f>
        <v>No Match</v>
      </c>
      <c r="M88" s="226"/>
      <c r="N88" s="226"/>
      <c r="O88" s="226"/>
      <c r="P88" s="226"/>
      <c r="Q88" s="323"/>
      <c r="R88" s="390"/>
      <c r="S88" s="390"/>
    </row>
    <row r="89" ht="30.75" customHeight="1" outlineLevel="1">
      <c r="A89" s="259"/>
      <c r="B89" s="273"/>
      <c r="C89" s="274"/>
      <c r="D89" s="241"/>
      <c r="E89" s="381"/>
      <c r="F89" s="382"/>
      <c r="G89" s="403"/>
      <c r="H89" s="382"/>
      <c r="I89" s="382"/>
      <c r="J89" s="382"/>
      <c r="K89" s="383"/>
      <c r="L89" s="277" t="str">
        <f>IFERROR(__xludf.DUMMYFUNCTION("IF(COUNTBLANK(B89)&gt;0, """", IFERROR(JOIN("", ""&amp;CHAR(10), FILTER(IMPORTRANGE(""https://docs.google.com/spreadsheets/d/1Fgd7GP5RUQxajuAkULlL-NwY6xKNVDzD6d9lnxn5Xks/"", ""IGNORE: Issues/Risks!$E$5:$E$200""), 
ISNUMBER(SEARCH(B89, IMPORTRANGE(""https://docs."&amp;"google.com/spreadsheets/d/1Fgd7GP5RUQxajuAkULlL-NwY6xKNVDzD6d9lnxn5Xks/"", ""IGNORE: Issues/Risks!$J$5:$J$200""))))), ""No Match"")
)"),"")</f>
        <v/>
      </c>
      <c r="M89" s="247"/>
      <c r="N89" s="247"/>
      <c r="O89" s="247"/>
      <c r="P89" s="247"/>
      <c r="Q89" s="395"/>
      <c r="R89" s="395"/>
      <c r="S89" s="395"/>
    </row>
    <row r="90" ht="30.75" customHeight="1">
      <c r="A90" s="396" t="s">
        <v>829</v>
      </c>
      <c r="B90" s="343" t="s">
        <v>830</v>
      </c>
      <c r="C90" s="372" t="s">
        <v>831</v>
      </c>
      <c r="D90" s="251" t="s">
        <v>323</v>
      </c>
      <c r="E90" s="386" t="s">
        <v>588</v>
      </c>
      <c r="F90" s="385" t="s">
        <v>366</v>
      </c>
      <c r="G90" s="386" t="s">
        <v>628</v>
      </c>
      <c r="H90" s="387"/>
      <c r="I90" s="387"/>
      <c r="J90" s="385" t="s">
        <v>797</v>
      </c>
      <c r="K90" s="397" t="s">
        <v>832</v>
      </c>
      <c r="L90" s="398" t="str">
        <f>IFERROR(__xludf.DUMMYFUNCTION("IF(COUNTBLANK(B90)&gt;0, """", IFERROR(JOIN("", ""&amp;CHAR(10), FILTER(IMPORTRANGE(""https://docs.google.com/spreadsheets/d/1Fgd7GP5RUQxajuAkULlL-NwY6xKNVDzD6d9lnxn5Xks/"", ""IGNORE: Issues/Risks!$E$5:$E$200""), 
ISNUMBER(SEARCH(B90, IMPORTRANGE(""https://docs."&amp;"google.com/spreadsheets/d/1Fgd7GP5RUQxajuAkULlL-NwY6xKNVDzD6d9lnxn5Xks/"", ""IGNORE: Issues/Risks!$J$5:$J$200""))))), ""No Match"")
)"),"No Match")</f>
        <v>No Match</v>
      </c>
      <c r="M90" s="226">
        <f>IFERROR(__xludf.DUMMYFUNCTION("MIN(
  ARRAYFORMULA(
    IFERROR(
      VLOOKUP(
        TRANSPOSE(ARRAYFORMULA(SPLIT(K90, CHAR(10)))),
        {Capabilities!$E:$E, Capabilities!P:P},
        2,
        FALSE
      ) * 1,
      9999999
    )
  )
)"),45901.0)</f>
        <v>45901</v>
      </c>
      <c r="N90" s="226">
        <f>IFERROR(__xludf.DUMMYFUNCTION("MAX(
  ARRAYFORMULA(
    IFERROR(
      VLOOKUP(
        TRANSPOSE(ARRAYFORMULA(SPLIT(K90, CHAR(10)))),
        {Capabilities!$E:$E, Capabilities!Q:Q},
        2,
        FALSE
      ) * 1,
      0
    )
  )
)"),46113.0)</f>
        <v>46113</v>
      </c>
      <c r="O90" s="226">
        <f>IFERROR(__xludf.DUMMYFUNCTION("MAX(
  ARRAYFORMULA(
    IFERROR(
      VLOOKUP(
        TRANSPOSE(ARRAYFORMULA(SPLIT(K90, CHAR(10)))),
        {Capabilities!$E:$E, Capabilities!R:R},
        2,
        FALSE
      ) * 1,
      0
    )
  )
)"),46113.0)</f>
        <v>46113</v>
      </c>
      <c r="P90" s="226">
        <f>IFERROR(__xludf.DUMMYFUNCTION("MAX(
  ARRAYFORMULA(
    IFERROR(
      VLOOKUP(
        TRANSPOSE(ARRAYFORMULA(SPLIT(K90, CHAR(10)))),
        {Capabilities!$E:$E, Capabilities!S:S},
        2,
        FALSE
      ) * 1,
      0
    )
  )
)"),46204.0)</f>
        <v>46204</v>
      </c>
      <c r="Q90" s="399"/>
      <c r="R90" s="400"/>
      <c r="S90" s="400"/>
    </row>
    <row r="91" ht="30.75" customHeight="1" outlineLevel="1">
      <c r="A91" s="259"/>
      <c r="B91" s="269" t="s">
        <v>833</v>
      </c>
      <c r="C91" s="272" t="s">
        <v>834</v>
      </c>
      <c r="D91" s="230" t="s">
        <v>323</v>
      </c>
      <c r="E91" s="375" t="s">
        <v>588</v>
      </c>
      <c r="F91" s="320" t="s">
        <v>366</v>
      </c>
      <c r="G91" s="375" t="s">
        <v>628</v>
      </c>
      <c r="H91" s="376"/>
      <c r="I91" s="376"/>
      <c r="J91" s="320" t="s">
        <v>797</v>
      </c>
      <c r="K91" s="321" t="s">
        <v>835</v>
      </c>
      <c r="L91" s="322" t="str">
        <f>IFERROR(__xludf.DUMMYFUNCTION("IF(COUNTBLANK(B91)&gt;0, """", IFERROR(JOIN("", ""&amp;CHAR(10), FILTER(IMPORTRANGE(""https://docs.google.com/spreadsheets/d/1Fgd7GP5RUQxajuAkULlL-NwY6xKNVDzD6d9lnxn5Xks/"", ""IGNORE: Issues/Risks!$E$5:$E$200""), 
ISNUMBER(SEARCH(B91, IMPORTRANGE(""https://docs."&amp;"google.com/spreadsheets/d/1Fgd7GP5RUQxajuAkULlL-NwY6xKNVDzD6d9lnxn5Xks/"", ""IGNORE: Issues/Risks!$J$5:$J$200""))))), ""No Match"")
)"),"No Match")</f>
        <v>No Match</v>
      </c>
      <c r="M91" s="226">
        <f>IFERROR(__xludf.DUMMYFUNCTION("MIN(
  ARRAYFORMULA(
    IFERROR(
      VLOOKUP(
        TRANSPOSE(ARRAYFORMULA(SPLIT(K91, CHAR(10)))),
        {Capabilities!$E:$E, Capabilities!P:P},
        2,
        FALSE
      ) * 1,
      9999999
    )
  )
)"),45901.0)</f>
        <v>45901</v>
      </c>
      <c r="N91" s="226">
        <f>IFERROR(__xludf.DUMMYFUNCTION("MAX(
  ARRAYFORMULA(
    IFERROR(
      VLOOKUP(
        TRANSPOSE(ARRAYFORMULA(SPLIT(K91, CHAR(10)))),
        {Capabilities!$E:$E, Capabilities!Q:Q},
        2,
        FALSE
      ) * 1,
      0
    )
  )
)"),46113.0)</f>
        <v>46113</v>
      </c>
      <c r="O91" s="226">
        <f>IFERROR(__xludf.DUMMYFUNCTION("MAX(
  ARRAYFORMULA(
    IFERROR(
      VLOOKUP(
        TRANSPOSE(ARRAYFORMULA(SPLIT(K91, CHAR(10)))),
        {Capabilities!$E:$E, Capabilities!R:R},
        2,
        FALSE
      ) * 1,
      0
    )
  )
)"),46204.0)</f>
        <v>46204</v>
      </c>
      <c r="P91" s="226">
        <f>IFERROR(__xludf.DUMMYFUNCTION("MAX(
  ARRAYFORMULA(
    IFERROR(
      VLOOKUP(
        TRANSPOSE(ARRAYFORMULA(SPLIT(K91, CHAR(10)))),
        {Capabilities!$E:$E, Capabilities!S:S},
        2,
        FALSE
      ) * 1,
      0
    )
  )
)"),46296.0)</f>
        <v>46296</v>
      </c>
      <c r="Q91" s="323"/>
      <c r="R91" s="390"/>
      <c r="S91" s="390"/>
    </row>
    <row r="92" ht="30.75" customHeight="1" outlineLevel="1">
      <c r="A92" s="259"/>
      <c r="B92" s="273"/>
      <c r="C92" s="274"/>
      <c r="D92" s="241"/>
      <c r="E92" s="381"/>
      <c r="F92" s="382"/>
      <c r="G92" s="403"/>
      <c r="H92" s="382"/>
      <c r="I92" s="382"/>
      <c r="J92" s="382"/>
      <c r="K92" s="383"/>
      <c r="L92" s="280" t="str">
        <f>IFERROR(__xludf.DUMMYFUNCTION("IF(COUNTBLANK(B92)&gt;0, """", IFERROR(JOIN("", ""&amp;CHAR(10), FILTER(IMPORTRANGE(""https://docs.google.com/spreadsheets/d/1Fgd7GP5RUQxajuAkULlL-NwY6xKNVDzD6d9lnxn5Xks/"", ""IGNORE: Issues/Risks!$E$5:$E$200""), 
ISNUMBER(SEARCH(B92, IMPORTRANGE(""https://docs."&amp;"google.com/spreadsheets/d/1Fgd7GP5RUQxajuAkULlL-NwY6xKNVDzD6d9lnxn5Xks/"", ""IGNORE: Issues/Risks!$J$5:$J$200""))))), ""No Match"")
)"),"")</f>
        <v/>
      </c>
      <c r="M92" s="247"/>
      <c r="N92" s="247"/>
      <c r="O92" s="247"/>
      <c r="P92" s="247"/>
      <c r="Q92" s="395"/>
      <c r="R92" s="395"/>
      <c r="S92" s="395"/>
    </row>
    <row r="93" ht="30.75" customHeight="1">
      <c r="A93" s="248" t="s">
        <v>836</v>
      </c>
      <c r="B93" s="343" t="s">
        <v>837</v>
      </c>
      <c r="C93" s="404" t="s">
        <v>838</v>
      </c>
      <c r="D93" s="251" t="s">
        <v>325</v>
      </c>
      <c r="E93" s="405" t="s">
        <v>281</v>
      </c>
      <c r="F93" s="406" t="s">
        <v>281</v>
      </c>
      <c r="G93" s="405" t="s">
        <v>628</v>
      </c>
      <c r="H93" s="385" t="s">
        <v>839</v>
      </c>
      <c r="I93" s="385"/>
      <c r="J93" s="387"/>
      <c r="K93" s="397" t="s">
        <v>840</v>
      </c>
      <c r="L93" s="407" t="str">
        <f>IFERROR(__xludf.DUMMYFUNCTION("IF(COUNTBLANK(B93)&gt;0, """", IFERROR(JOIN("", ""&amp;CHAR(10), FILTER(IMPORTRANGE(""https://docs.google.com/spreadsheets/d/1Fgd7GP5RUQxajuAkULlL-NwY6xKNVDzD6d9lnxn5Xks/"", ""IGNORE: Issues/Risks!$E$5:$E$200""), 
ISNUMBER(SEARCH(B93, IMPORTRANGE(""https://docs."&amp;"google.com/spreadsheets/d/1Fgd7GP5RUQxajuAkULlL-NwY6xKNVDzD6d9lnxn5Xks/"", ""IGNORE: Issues/Risks!$J$5:$J$200""))))), ""No Match"")
)"),"No Match")</f>
        <v>No Match</v>
      </c>
      <c r="M93" s="226">
        <f>IFERROR(__xludf.DUMMYFUNCTION("MIN(
  ARRAYFORMULA(
    IFERROR(
      VLOOKUP(
        TRANSPOSE(ARRAYFORMULA(SPLIT(K93, CHAR(10)))),
        {Capabilities!$E:$E, Capabilities!P:P},
        2,
        FALSE
      ) * 1,
      9999999
    )
  )
)"),45931.0)</f>
        <v>45931</v>
      </c>
      <c r="N93" s="226">
        <f>IFERROR(__xludf.DUMMYFUNCTION("MAX(
  ARRAYFORMULA(
    IFERROR(
      VLOOKUP(
        TRANSPOSE(ARRAYFORMULA(SPLIT(K93, CHAR(10)))),
        {Capabilities!$E:$E, Capabilities!Q:Q},
        2,
        FALSE
      ) * 1,
      0
    )
  )
)"),45962.0)</f>
        <v>45962</v>
      </c>
      <c r="O93" s="226">
        <f>IFERROR(__xludf.DUMMYFUNCTION("MAX(
  ARRAYFORMULA(
    IFERROR(
      VLOOKUP(
        TRANSPOSE(ARRAYFORMULA(SPLIT(K93, CHAR(10)))),
        {Capabilities!$E:$E, Capabilities!R:R},
        2,
        FALSE
      ) * 1,
      0
    )
  )
)"),46204.0)</f>
        <v>46204</v>
      </c>
      <c r="P93" s="226">
        <f>IFERROR(__xludf.DUMMYFUNCTION("MAX(
  ARRAYFORMULA(
    IFERROR(
      VLOOKUP(
        TRANSPOSE(ARRAYFORMULA(SPLIT(K93, CHAR(10)))),
        {Capabilities!$E:$E, Capabilities!S:S},
        2,
        FALSE
      ) * 1,
      0
    )
  )
)"),46388.0)</f>
        <v>46388</v>
      </c>
      <c r="Q93" s="399"/>
      <c r="R93" s="400"/>
      <c r="S93" s="400"/>
    </row>
    <row r="94" ht="30.75" customHeight="1" outlineLevel="1">
      <c r="A94" s="259"/>
      <c r="B94" s="408" t="s">
        <v>841</v>
      </c>
      <c r="C94" s="374" t="s">
        <v>842</v>
      </c>
      <c r="D94" s="362" t="s">
        <v>328</v>
      </c>
      <c r="E94" s="409" t="s">
        <v>281</v>
      </c>
      <c r="F94" s="410" t="s">
        <v>281</v>
      </c>
      <c r="G94" s="375" t="s">
        <v>628</v>
      </c>
      <c r="H94" s="410" t="s">
        <v>843</v>
      </c>
      <c r="I94" s="410"/>
      <c r="J94" s="411"/>
      <c r="K94" s="391" t="s">
        <v>844</v>
      </c>
      <c r="L94" s="392" t="str">
        <f>IFERROR(__xludf.DUMMYFUNCTION("IF(COUNTBLANK(B94)&gt;0, """", IFERROR(JOIN("", ""&amp;CHAR(10), FILTER(IMPORTRANGE(""https://docs.google.com/spreadsheets/d/1Fgd7GP5RUQxajuAkULlL-NwY6xKNVDzD6d9lnxn5Xks/"", ""IGNORE: Issues/Risks!$E$5:$E$200""), 
ISNUMBER(SEARCH(B94, IMPORTRANGE(""https://docs."&amp;"google.com/spreadsheets/d/1Fgd7GP5RUQxajuAkULlL-NwY6xKNVDzD6d9lnxn5Xks/"", ""IGNORE: Issues/Risks!$J$5:$J$200""))))), ""No Match"")
)"),"No Match")</f>
        <v>No Match</v>
      </c>
      <c r="M94" s="226">
        <f>IFERROR(__xludf.DUMMYFUNCTION("MIN(
  ARRAYFORMULA(
    IFERROR(
      VLOOKUP(
        TRANSPOSE(ARRAYFORMULA(SPLIT(K94, CHAR(10)))),
        {Capabilities!$E:$E, Capabilities!P:P},
        2,
        FALSE
      ) * 1,
      9999999
    )
  )
)"),45931.0)</f>
        <v>45931</v>
      </c>
      <c r="N94" s="226">
        <f>IFERROR(__xludf.DUMMYFUNCTION("MAX(
  ARRAYFORMULA(
    IFERROR(
      VLOOKUP(
        TRANSPOSE(ARRAYFORMULA(SPLIT(K94, CHAR(10)))),
        {Capabilities!$E:$E, Capabilities!Q:Q},
        2,
        FALSE
      ) * 1,
      0
    )
  )
)"),45962.0)</f>
        <v>45962</v>
      </c>
      <c r="O94" s="226">
        <f>IFERROR(__xludf.DUMMYFUNCTION("MAX(
  ARRAYFORMULA(
    IFERROR(
      VLOOKUP(
        TRANSPOSE(ARRAYFORMULA(SPLIT(K94, CHAR(10)))),
        {Capabilities!$E:$E, Capabilities!R:R},
        2,
        FALSE
      ) * 1,
      0
    )
  )
)"),46204.0)</f>
        <v>46204</v>
      </c>
      <c r="P94" s="226">
        <f>IFERROR(__xludf.DUMMYFUNCTION("MAX(
  ARRAYFORMULA(
    IFERROR(
      VLOOKUP(
        TRANSPOSE(ARRAYFORMULA(SPLIT(K94, CHAR(10)))),
        {Capabilities!$E:$E, Capabilities!S:S},
        2,
        FALSE
      ) * 1,
      0
    )
  )
)"),46388.0)</f>
        <v>46388</v>
      </c>
      <c r="Q94" s="323"/>
      <c r="R94" s="390"/>
      <c r="S94" s="390"/>
    </row>
    <row r="95" ht="30.75" customHeight="1" outlineLevel="1">
      <c r="A95" s="259"/>
      <c r="B95" s="408" t="s">
        <v>845</v>
      </c>
      <c r="C95" s="412" t="s">
        <v>846</v>
      </c>
      <c r="D95" s="362" t="s">
        <v>328</v>
      </c>
      <c r="E95" s="409" t="s">
        <v>281</v>
      </c>
      <c r="F95" s="410" t="s">
        <v>281</v>
      </c>
      <c r="G95" s="375" t="s">
        <v>628</v>
      </c>
      <c r="H95" s="410" t="s">
        <v>847</v>
      </c>
      <c r="I95" s="410"/>
      <c r="J95" s="411"/>
      <c r="K95" s="391" t="s">
        <v>848</v>
      </c>
      <c r="L95" s="413" t="str">
        <f>IFERROR(__xludf.DUMMYFUNCTION("IF(COUNTBLANK(B95)&gt;0, """", IFERROR(JOIN("", ""&amp;CHAR(10), FILTER(IMPORTRANGE(""https://docs.google.com/spreadsheets/d/1Fgd7GP5RUQxajuAkULlL-NwY6xKNVDzD6d9lnxn5Xks/"", ""IGNORE: Issues/Risks!$E$5:$E$200""), 
ISNUMBER(SEARCH(B95, IMPORTRANGE(""https://docs."&amp;"google.com/spreadsheets/d/1Fgd7GP5RUQxajuAkULlL-NwY6xKNVDzD6d9lnxn5Xks/"", ""IGNORE: Issues/Risks!$J$5:$J$200""))))), ""No Match"")
)"),"No Match")</f>
        <v>No Match</v>
      </c>
      <c r="M95" s="226">
        <f>IFERROR(__xludf.DUMMYFUNCTION("MIN(
  ARRAYFORMULA(
    IFERROR(
      VLOOKUP(
        TRANSPOSE(ARRAYFORMULA(SPLIT(K95, CHAR(10)))),
        {Capabilities!$E:$E, Capabilities!P:P},
        2,
        FALSE
      ) * 1,
      9999999
    )
  )
)"),45931.0)</f>
        <v>45931</v>
      </c>
      <c r="N95" s="226">
        <f>IFERROR(__xludf.DUMMYFUNCTION("MAX(
  ARRAYFORMULA(
    IFERROR(
      VLOOKUP(
        TRANSPOSE(ARRAYFORMULA(SPLIT(K95, CHAR(10)))),
        {Capabilities!$E:$E, Capabilities!Q:Q},
        2,
        FALSE
      ) * 1,
      0
    )
  )
)"),45962.0)</f>
        <v>45962</v>
      </c>
      <c r="O95" s="226">
        <f>IFERROR(__xludf.DUMMYFUNCTION("MAX(
  ARRAYFORMULA(
    IFERROR(
      VLOOKUP(
        TRANSPOSE(ARRAYFORMULA(SPLIT(K95, CHAR(10)))),
        {Capabilities!$E:$E, Capabilities!R:R},
        2,
        FALSE
      ) * 1,
      0
    )
  )
)"),46204.0)</f>
        <v>46204</v>
      </c>
      <c r="P95" s="226">
        <f>IFERROR(__xludf.DUMMYFUNCTION("MAX(
  ARRAYFORMULA(
    IFERROR(
      VLOOKUP(
        TRANSPOSE(ARRAYFORMULA(SPLIT(K95, CHAR(10)))),
        {Capabilities!$E:$E, Capabilities!S:S},
        2,
        FALSE
      ) * 1,
      0
    )
  )
)"),46388.0)</f>
        <v>46388</v>
      </c>
      <c r="Q95" s="323"/>
      <c r="R95" s="390"/>
      <c r="S95" s="390"/>
    </row>
    <row r="96" ht="30.75" customHeight="1" outlineLevel="1">
      <c r="A96" s="259"/>
      <c r="B96" s="408" t="s">
        <v>849</v>
      </c>
      <c r="C96" s="412" t="s">
        <v>850</v>
      </c>
      <c r="D96" s="362" t="s">
        <v>331</v>
      </c>
      <c r="E96" s="409" t="s">
        <v>348</v>
      </c>
      <c r="F96" s="410" t="s">
        <v>366</v>
      </c>
      <c r="G96" s="375" t="s">
        <v>628</v>
      </c>
      <c r="H96" s="410" t="s">
        <v>851</v>
      </c>
      <c r="I96" s="410"/>
      <c r="J96" s="411"/>
      <c r="K96" s="391" t="s">
        <v>101</v>
      </c>
      <c r="L96" s="392" t="str">
        <f>IFERROR(__xludf.DUMMYFUNCTION("IF(COUNTBLANK(B96)&gt;0, """", IFERROR(JOIN("", ""&amp;CHAR(10), FILTER(IMPORTRANGE(""https://docs.google.com/spreadsheets/d/1Fgd7GP5RUQxajuAkULlL-NwY6xKNVDzD6d9lnxn5Xks/"", ""IGNORE: Issues/Risks!$E$5:$E$200""), 
ISNUMBER(SEARCH(B96, IMPORTRANGE(""https://docs."&amp;"google.com/spreadsheets/d/1Fgd7GP5RUQxajuAkULlL-NwY6xKNVDzD6d9lnxn5Xks/"", ""IGNORE: Issues/Risks!$J$5:$J$200""))))), ""No Match"")
)"),"No Match")</f>
        <v>No Match</v>
      </c>
      <c r="M96" s="226"/>
      <c r="N96" s="226"/>
      <c r="O96" s="226"/>
      <c r="P96" s="226"/>
      <c r="Q96" s="323"/>
      <c r="R96" s="390"/>
      <c r="S96" s="390"/>
    </row>
    <row r="97" ht="30.75" customHeight="1" outlineLevel="1">
      <c r="A97" s="259"/>
      <c r="B97" s="273"/>
      <c r="C97" s="274"/>
      <c r="D97" s="241"/>
      <c r="E97" s="381"/>
      <c r="F97" s="382"/>
      <c r="G97" s="403"/>
      <c r="H97" s="382"/>
      <c r="I97" s="382"/>
      <c r="J97" s="382"/>
      <c r="K97" s="383"/>
      <c r="L97" s="277" t="str">
        <f>IFERROR(__xludf.DUMMYFUNCTION("IF(COUNTBLANK(B97)&gt;0, """", IFERROR(JOIN("", ""&amp;CHAR(10), FILTER(IMPORTRANGE(""https://docs.google.com/spreadsheets/d/1Fgd7GP5RUQxajuAkULlL-NwY6xKNVDzD6d9lnxn5Xks/"", ""IGNORE: Issues/Risks!$E$5:$E$200""), 
ISNUMBER(SEARCH(B97, IMPORTRANGE(""https://docs."&amp;"google.com/spreadsheets/d/1Fgd7GP5RUQxajuAkULlL-NwY6xKNVDzD6d9lnxn5Xks/"", ""IGNORE: Issues/Risks!$J$5:$J$200""))))), ""No Match"")
)"),"")</f>
        <v/>
      </c>
      <c r="M97" s="247"/>
      <c r="N97" s="247"/>
      <c r="O97" s="247"/>
      <c r="P97" s="247"/>
      <c r="Q97" s="395"/>
      <c r="R97" s="395"/>
      <c r="S97" s="395"/>
    </row>
    <row r="98" ht="30.75" customHeight="1">
      <c r="A98" s="248" t="s">
        <v>852</v>
      </c>
      <c r="B98" s="343" t="s">
        <v>853</v>
      </c>
      <c r="C98" s="372" t="s">
        <v>854</v>
      </c>
      <c r="D98" s="251" t="s">
        <v>323</v>
      </c>
      <c r="E98" s="386" t="s">
        <v>281</v>
      </c>
      <c r="F98" s="386" t="s">
        <v>281</v>
      </c>
      <c r="G98" s="386" t="s">
        <v>281</v>
      </c>
      <c r="H98" s="385" t="s">
        <v>855</v>
      </c>
      <c r="I98" s="385"/>
      <c r="J98" s="387"/>
      <c r="K98" s="397" t="s">
        <v>101</v>
      </c>
      <c r="L98" s="398" t="str">
        <f>IFERROR(__xludf.DUMMYFUNCTION("IF(COUNTBLANK(B98)&gt;0, """", IFERROR(JOIN("", ""&amp;CHAR(10), FILTER(IMPORTRANGE(""https://docs.google.com/spreadsheets/d/1Fgd7GP5RUQxajuAkULlL-NwY6xKNVDzD6d9lnxn5Xks/"", ""IGNORE: Issues/Risks!$E$5:$E$200""), 
ISNUMBER(SEARCH(B98, IMPORTRANGE(""https://docs."&amp;"google.com/spreadsheets/d/1Fgd7GP5RUQxajuAkULlL-NwY6xKNVDzD6d9lnxn5Xks/"", ""IGNORE: Issues/Risks!$J$5:$J$200""))))), ""No Match"")
)"),"No Match")</f>
        <v>No Match</v>
      </c>
      <c r="M98" s="226"/>
      <c r="N98" s="226"/>
      <c r="O98" s="226"/>
      <c r="P98" s="226"/>
      <c r="Q98" s="399"/>
      <c r="R98" s="400"/>
      <c r="S98" s="400"/>
    </row>
    <row r="99" ht="30.75" customHeight="1" outlineLevel="1">
      <c r="A99" s="259"/>
      <c r="B99" s="269" t="s">
        <v>856</v>
      </c>
      <c r="C99" s="272" t="s">
        <v>857</v>
      </c>
      <c r="D99" s="230" t="s">
        <v>323</v>
      </c>
      <c r="E99" s="375" t="s">
        <v>281</v>
      </c>
      <c r="F99" s="375" t="s">
        <v>281</v>
      </c>
      <c r="G99" s="375" t="s">
        <v>281</v>
      </c>
      <c r="H99" s="320" t="s">
        <v>858</v>
      </c>
      <c r="I99" s="320"/>
      <c r="J99" s="376"/>
      <c r="K99" s="321" t="s">
        <v>859</v>
      </c>
      <c r="L99" s="322" t="str">
        <f>IFERROR(__xludf.DUMMYFUNCTION("IF(COUNTBLANK(B99)&gt;0, """", IFERROR(JOIN("", ""&amp;CHAR(10), FILTER(IMPORTRANGE(""https://docs.google.com/spreadsheets/d/1Fgd7GP5RUQxajuAkULlL-NwY6xKNVDzD6d9lnxn5Xks/"", ""IGNORE: Issues/Risks!$E$5:$E$200""), 
ISNUMBER(SEARCH(B99, IMPORTRANGE(""https://docs."&amp;"google.com/spreadsheets/d/1Fgd7GP5RUQxajuAkULlL-NwY6xKNVDzD6d9lnxn5Xks/"", ""IGNORE: Issues/Risks!$J$5:$J$200""))))), ""No Match"")
)"),"No Match")</f>
        <v>No Match</v>
      </c>
      <c r="M99" s="226">
        <f>IFERROR(__xludf.DUMMYFUNCTION("MIN(
  ARRAYFORMULA(
    IFERROR(
      VLOOKUP(
        TRANSPOSE(ARRAYFORMULA(SPLIT(K99, CHAR(10)))),
        {Capabilities!$E:$E, Capabilities!P:P},
        2,
        FALSE
      ) * 1,
      9999999
    )
  )
)"),45901.0)</f>
        <v>45901</v>
      </c>
      <c r="N99" s="226">
        <f>IFERROR(__xludf.DUMMYFUNCTION("MAX(
  ARRAYFORMULA(
    IFERROR(
      VLOOKUP(
        TRANSPOSE(ARRAYFORMULA(SPLIT(K99, CHAR(10)))),
        {Capabilities!$E:$E, Capabilities!Q:Q},
        2,
        FALSE
      ) * 1,
      0
    )
  )
)"),45962.0)</f>
        <v>45962</v>
      </c>
      <c r="O99" s="226">
        <f>IFERROR(__xludf.DUMMYFUNCTION("MAX(
  ARRAYFORMULA(
    IFERROR(
      VLOOKUP(
        TRANSPOSE(ARRAYFORMULA(SPLIT(K99, CHAR(10)))),
        {Capabilities!$E:$E, Capabilities!R:R},
        2,
        FALSE
      ) * 1,
      0
    )
  )
)"),46113.0)</f>
        <v>46113</v>
      </c>
      <c r="P99" s="226">
        <f>IFERROR(__xludf.DUMMYFUNCTION("MAX(
  ARRAYFORMULA(
    IFERROR(
      VLOOKUP(
        TRANSPOSE(ARRAYFORMULA(SPLIT(K99, CHAR(10)))),
        {Capabilities!$E:$E, Capabilities!S:S},
        2,
        FALSE
      ) * 1,
      0
    )
  )
)"),46204.0)</f>
        <v>46204</v>
      </c>
      <c r="Q99" s="323"/>
      <c r="R99" s="390"/>
      <c r="S99" s="402"/>
    </row>
    <row r="100" ht="30.75" customHeight="1" outlineLevel="1">
      <c r="A100" s="259"/>
      <c r="B100" s="269" t="s">
        <v>860</v>
      </c>
      <c r="C100" s="272" t="s">
        <v>861</v>
      </c>
      <c r="D100" s="230" t="s">
        <v>323</v>
      </c>
      <c r="E100" s="375" t="s">
        <v>281</v>
      </c>
      <c r="F100" s="375" t="s">
        <v>281</v>
      </c>
      <c r="G100" s="375" t="s">
        <v>281</v>
      </c>
      <c r="H100" s="376"/>
      <c r="I100" s="414" t="s">
        <v>862</v>
      </c>
      <c r="J100" s="376"/>
      <c r="K100" s="321" t="s">
        <v>101</v>
      </c>
      <c r="L100" s="378" t="str">
        <f>IFERROR(__xludf.DUMMYFUNCTION("IF(COUNTBLANK(B100)&gt;0, """", IFERROR(JOIN("", ""&amp;CHAR(10), FILTER(IMPORTRANGE(""https://docs.google.com/spreadsheets/d/1Fgd7GP5RUQxajuAkULlL-NwY6xKNVDzD6d9lnxn5Xks/"", ""IGNORE: Issues/Risks!$E$5:$E$200""), 
ISNUMBER(SEARCH(B100, IMPORTRANGE(""https://doc"&amp;"s.google.com/spreadsheets/d/1Fgd7GP5RUQxajuAkULlL-NwY6xKNVDzD6d9lnxn5Xks/"", ""IGNORE: Issues/Risks!$J$5:$J$200""))))), ""No Match"")
)"),"No Match")</f>
        <v>No Match</v>
      </c>
      <c r="M100" s="226"/>
      <c r="N100" s="226"/>
      <c r="O100" s="226"/>
      <c r="P100" s="226"/>
      <c r="Q100" s="323"/>
      <c r="R100" s="390"/>
      <c r="S100" s="402"/>
    </row>
    <row r="101" ht="30.75" customHeight="1" outlineLevel="1">
      <c r="A101" s="259"/>
      <c r="B101" s="269" t="s">
        <v>863</v>
      </c>
      <c r="C101" s="272" t="s">
        <v>864</v>
      </c>
      <c r="D101" s="230" t="s">
        <v>323</v>
      </c>
      <c r="E101" s="375" t="s">
        <v>281</v>
      </c>
      <c r="F101" s="375" t="s">
        <v>281</v>
      </c>
      <c r="G101" s="375" t="s">
        <v>281</v>
      </c>
      <c r="H101" s="320" t="s">
        <v>865</v>
      </c>
      <c r="I101" s="414" t="s">
        <v>862</v>
      </c>
      <c r="J101" s="376"/>
      <c r="K101" s="321" t="s">
        <v>101</v>
      </c>
      <c r="L101" s="322" t="str">
        <f>IFERROR(__xludf.DUMMYFUNCTION("IF(COUNTBLANK(B101)&gt;0, """", IFERROR(JOIN("", ""&amp;CHAR(10), FILTER(IMPORTRANGE(""https://docs.google.com/spreadsheets/d/1Fgd7GP5RUQxajuAkULlL-NwY6xKNVDzD6d9lnxn5Xks/"", ""IGNORE: Issues/Risks!$E$5:$E$200""), 
ISNUMBER(SEARCH(B101, IMPORTRANGE(""https://doc"&amp;"s.google.com/spreadsheets/d/1Fgd7GP5RUQxajuAkULlL-NwY6xKNVDzD6d9lnxn5Xks/"", ""IGNORE: Issues/Risks!$J$5:$J$200""))))), ""No Match"")
)"),"No Match")</f>
        <v>No Match</v>
      </c>
      <c r="M101" s="226"/>
      <c r="N101" s="226"/>
      <c r="O101" s="226"/>
      <c r="P101" s="226"/>
      <c r="Q101" s="323"/>
      <c r="R101" s="390"/>
      <c r="S101" s="402"/>
    </row>
    <row r="102" ht="30.75" customHeight="1" outlineLevel="1">
      <c r="A102" s="259"/>
      <c r="B102" s="269" t="s">
        <v>866</v>
      </c>
      <c r="C102" s="272" t="s">
        <v>867</v>
      </c>
      <c r="D102" s="230" t="s">
        <v>323</v>
      </c>
      <c r="E102" s="375" t="s">
        <v>281</v>
      </c>
      <c r="F102" s="375" t="s">
        <v>281</v>
      </c>
      <c r="G102" s="375" t="s">
        <v>281</v>
      </c>
      <c r="H102" s="320" t="s">
        <v>868</v>
      </c>
      <c r="I102" s="414" t="s">
        <v>862</v>
      </c>
      <c r="J102" s="376"/>
      <c r="K102" s="321" t="s">
        <v>101</v>
      </c>
      <c r="L102" s="378" t="str">
        <f>IFERROR(__xludf.DUMMYFUNCTION("IF(COUNTBLANK(B102)&gt;0, """", IFERROR(JOIN("", ""&amp;CHAR(10), FILTER(IMPORTRANGE(""https://docs.google.com/spreadsheets/d/1Fgd7GP5RUQxajuAkULlL-NwY6xKNVDzD6d9lnxn5Xks/"", ""IGNORE: Issues/Risks!$E$5:$E$200""), 
ISNUMBER(SEARCH(B102, IMPORTRANGE(""https://doc"&amp;"s.google.com/spreadsheets/d/1Fgd7GP5RUQxajuAkULlL-NwY6xKNVDzD6d9lnxn5Xks/"", ""IGNORE: Issues/Risks!$J$5:$J$200""))))), ""No Match"")
)"),"No Match")</f>
        <v>No Match</v>
      </c>
      <c r="M102" s="226"/>
      <c r="N102" s="226"/>
      <c r="O102" s="226"/>
      <c r="P102" s="226"/>
      <c r="Q102" s="323"/>
      <c r="R102" s="390"/>
      <c r="S102" s="402"/>
    </row>
    <row r="103" ht="30.75" customHeight="1" outlineLevel="1">
      <c r="A103" s="259"/>
      <c r="B103" s="269" t="s">
        <v>869</v>
      </c>
      <c r="C103" s="272" t="s">
        <v>870</v>
      </c>
      <c r="D103" s="230" t="s">
        <v>323</v>
      </c>
      <c r="E103" s="375" t="s">
        <v>281</v>
      </c>
      <c r="F103" s="375" t="s">
        <v>281</v>
      </c>
      <c r="G103" s="375" t="s">
        <v>281</v>
      </c>
      <c r="H103" s="320" t="s">
        <v>871</v>
      </c>
      <c r="I103" s="320"/>
      <c r="J103" s="376"/>
      <c r="K103" s="321" t="s">
        <v>101</v>
      </c>
      <c r="L103" s="322" t="str">
        <f>IFERROR(__xludf.DUMMYFUNCTION("IF(COUNTBLANK(B103)&gt;0, """", IFERROR(JOIN("", ""&amp;CHAR(10), FILTER(IMPORTRANGE(""https://docs.google.com/spreadsheets/d/1Fgd7GP5RUQxajuAkULlL-NwY6xKNVDzD6d9lnxn5Xks/"", ""IGNORE: Issues/Risks!$E$5:$E$200""), 
ISNUMBER(SEARCH(B103, IMPORTRANGE(""https://doc"&amp;"s.google.com/spreadsheets/d/1Fgd7GP5RUQxajuAkULlL-NwY6xKNVDzD6d9lnxn5Xks/"", ""IGNORE: Issues/Risks!$J$5:$J$200""))))), ""No Match"")
)"),"No Match")</f>
        <v>No Match</v>
      </c>
      <c r="M103" s="226"/>
      <c r="N103" s="226"/>
      <c r="O103" s="226"/>
      <c r="P103" s="226"/>
      <c r="Q103" s="323"/>
      <c r="R103" s="390"/>
      <c r="S103" s="402"/>
    </row>
    <row r="104" ht="30.75" customHeight="1" outlineLevel="1">
      <c r="A104" s="259"/>
      <c r="B104" s="269" t="s">
        <v>872</v>
      </c>
      <c r="C104" s="272" t="s">
        <v>873</v>
      </c>
      <c r="D104" s="230" t="s">
        <v>323</v>
      </c>
      <c r="E104" s="375" t="s">
        <v>281</v>
      </c>
      <c r="F104" s="375" t="s">
        <v>281</v>
      </c>
      <c r="G104" s="375" t="s">
        <v>281</v>
      </c>
      <c r="H104" s="320" t="s">
        <v>874</v>
      </c>
      <c r="I104" s="320"/>
      <c r="J104" s="376"/>
      <c r="K104" s="321" t="s">
        <v>101</v>
      </c>
      <c r="L104" s="378" t="str">
        <f>IFERROR(__xludf.DUMMYFUNCTION("IF(COUNTBLANK(B104)&gt;0, """", IFERROR(JOIN("", ""&amp;CHAR(10), FILTER(IMPORTRANGE(""https://docs.google.com/spreadsheets/d/1Fgd7GP5RUQxajuAkULlL-NwY6xKNVDzD6d9lnxn5Xks/"", ""IGNORE: Issues/Risks!$E$5:$E$200""), 
ISNUMBER(SEARCH(B104, IMPORTRANGE(""https://doc"&amp;"s.google.com/spreadsheets/d/1Fgd7GP5RUQxajuAkULlL-NwY6xKNVDzD6d9lnxn5Xks/"", ""IGNORE: Issues/Risks!$J$5:$J$200""))))), ""No Match"")
)"),"No Match")</f>
        <v>No Match</v>
      </c>
      <c r="M104" s="226"/>
      <c r="N104" s="226"/>
      <c r="O104" s="226"/>
      <c r="P104" s="226"/>
      <c r="Q104" s="323"/>
      <c r="R104" s="390"/>
      <c r="S104" s="402"/>
    </row>
    <row r="105" ht="30.75" customHeight="1" outlineLevel="1">
      <c r="A105" s="259"/>
      <c r="B105" s="273"/>
      <c r="C105" s="274"/>
      <c r="D105" s="241"/>
      <c r="E105" s="381"/>
      <c r="F105" s="382"/>
      <c r="G105" s="403"/>
      <c r="H105" s="382"/>
      <c r="I105" s="382"/>
      <c r="J105" s="382"/>
      <c r="K105" s="383"/>
      <c r="L105" s="277" t="str">
        <f>IFERROR(__xludf.DUMMYFUNCTION("IF(COUNTBLANK(B105)&gt;0, """", IFERROR(JOIN("", ""&amp;CHAR(10), FILTER(IMPORTRANGE(""https://docs.google.com/spreadsheets/d/1Fgd7GP5RUQxajuAkULlL-NwY6xKNVDzD6d9lnxn5Xks/"", ""IGNORE: Issues/Risks!$E$5:$E$200""), 
ISNUMBER(SEARCH(B105, IMPORTRANGE(""https://doc"&amp;"s.google.com/spreadsheets/d/1Fgd7GP5RUQxajuAkULlL-NwY6xKNVDzD6d9lnxn5Xks/"", ""IGNORE: Issues/Risks!$J$5:$J$200""))))), ""No Match"")
)"),"")</f>
        <v/>
      </c>
      <c r="M105" s="247"/>
      <c r="N105" s="247"/>
      <c r="O105" s="247"/>
      <c r="P105" s="247"/>
      <c r="Q105" s="395"/>
      <c r="R105" s="395"/>
      <c r="S105" s="395"/>
    </row>
    <row r="106" ht="30.75" customHeight="1">
      <c r="A106" s="248" t="s">
        <v>875</v>
      </c>
      <c r="B106" s="343" t="s">
        <v>876</v>
      </c>
      <c r="C106" s="372" t="s">
        <v>877</v>
      </c>
      <c r="D106" s="251" t="s">
        <v>323</v>
      </c>
      <c r="E106" s="386" t="s">
        <v>281</v>
      </c>
      <c r="F106" s="386" t="s">
        <v>281</v>
      </c>
      <c r="G106" s="386" t="s">
        <v>281</v>
      </c>
      <c r="H106" s="385" t="s">
        <v>878</v>
      </c>
      <c r="I106" s="385"/>
      <c r="J106" s="387"/>
      <c r="K106" s="397" t="s">
        <v>101</v>
      </c>
      <c r="L106" s="398" t="str">
        <f>IFERROR(__xludf.DUMMYFUNCTION("IF(COUNTBLANK(B106)&gt;0, """", IFERROR(JOIN("", ""&amp;CHAR(10), FILTER(IMPORTRANGE(""https://docs.google.com/spreadsheets/d/1Fgd7GP5RUQxajuAkULlL-NwY6xKNVDzD6d9lnxn5Xks/"", ""IGNORE: Issues/Risks!$E$5:$E$200""), 
ISNUMBER(SEARCH(B106, IMPORTRANGE(""https://doc"&amp;"s.google.com/spreadsheets/d/1Fgd7GP5RUQxajuAkULlL-NwY6xKNVDzD6d9lnxn5Xks/"", ""IGNORE: Issues/Risks!$J$5:$J$200""))))), ""No Match"")
)"),"No Match")</f>
        <v>No Match</v>
      </c>
      <c r="M106" s="226"/>
      <c r="N106" s="226"/>
      <c r="O106" s="226"/>
      <c r="P106" s="226"/>
      <c r="Q106" s="399"/>
      <c r="R106" s="400"/>
      <c r="S106" s="400"/>
    </row>
    <row r="107" ht="30.75" customHeight="1" outlineLevel="1">
      <c r="A107" s="259"/>
      <c r="B107" s="269" t="s">
        <v>879</v>
      </c>
      <c r="C107" s="272" t="s">
        <v>880</v>
      </c>
      <c r="D107" s="230" t="s">
        <v>323</v>
      </c>
      <c r="E107" s="375" t="s">
        <v>281</v>
      </c>
      <c r="F107" s="375" t="s">
        <v>281</v>
      </c>
      <c r="G107" s="375" t="s">
        <v>281</v>
      </c>
      <c r="H107" s="320" t="s">
        <v>881</v>
      </c>
      <c r="I107" s="320"/>
      <c r="J107" s="376"/>
      <c r="K107" s="321" t="s">
        <v>101</v>
      </c>
      <c r="L107" s="322" t="str">
        <f>IFERROR(__xludf.DUMMYFUNCTION("IF(COUNTBLANK(B107)&gt;0, """", IFERROR(JOIN("", ""&amp;CHAR(10), FILTER(IMPORTRANGE(""https://docs.google.com/spreadsheets/d/1Fgd7GP5RUQxajuAkULlL-NwY6xKNVDzD6d9lnxn5Xks/"", ""IGNORE: Issues/Risks!$E$5:$E$200""), 
ISNUMBER(SEARCH(B107, IMPORTRANGE(""https://doc"&amp;"s.google.com/spreadsheets/d/1Fgd7GP5RUQxajuAkULlL-NwY6xKNVDzD6d9lnxn5Xks/"", ""IGNORE: Issues/Risks!$J$5:$J$200""))))), ""No Match"")
)"),"No Match")</f>
        <v>No Match</v>
      </c>
      <c r="M107" s="226"/>
      <c r="N107" s="226"/>
      <c r="O107" s="226"/>
      <c r="P107" s="226"/>
      <c r="Q107" s="323"/>
      <c r="R107" s="390"/>
      <c r="S107" s="390"/>
    </row>
    <row r="108" ht="30.75" customHeight="1" outlineLevel="1">
      <c r="A108" s="259"/>
      <c r="B108" s="269" t="s">
        <v>882</v>
      </c>
      <c r="C108" s="272" t="s">
        <v>883</v>
      </c>
      <c r="D108" s="230" t="s">
        <v>323</v>
      </c>
      <c r="E108" s="375" t="s">
        <v>281</v>
      </c>
      <c r="F108" s="375" t="s">
        <v>281</v>
      </c>
      <c r="G108" s="375" t="s">
        <v>281</v>
      </c>
      <c r="H108" s="320" t="s">
        <v>884</v>
      </c>
      <c r="I108" s="320"/>
      <c r="J108" s="376"/>
      <c r="K108" s="321" t="s">
        <v>101</v>
      </c>
      <c r="L108" s="378" t="str">
        <f>IFERROR(__xludf.DUMMYFUNCTION("IF(COUNTBLANK(B108)&gt;0, """", IFERROR(JOIN("", ""&amp;CHAR(10), FILTER(IMPORTRANGE(""https://docs.google.com/spreadsheets/d/1Fgd7GP5RUQxajuAkULlL-NwY6xKNVDzD6d9lnxn5Xks/"", ""IGNORE: Issues/Risks!$E$5:$E$200""), 
ISNUMBER(SEARCH(B108, IMPORTRANGE(""https://doc"&amp;"s.google.com/spreadsheets/d/1Fgd7GP5RUQxajuAkULlL-NwY6xKNVDzD6d9lnxn5Xks/"", ""IGNORE: Issues/Risks!$J$5:$J$200""))))), ""No Match"")
)"),"No Match")</f>
        <v>No Match</v>
      </c>
      <c r="M108" s="226"/>
      <c r="N108" s="226"/>
      <c r="O108" s="226"/>
      <c r="P108" s="226"/>
      <c r="Q108" s="323"/>
      <c r="R108" s="390"/>
      <c r="S108" s="390"/>
    </row>
    <row r="109" ht="30.75" customHeight="1" outlineLevel="1">
      <c r="A109" s="259"/>
      <c r="B109" s="269" t="s">
        <v>885</v>
      </c>
      <c r="C109" s="272" t="s">
        <v>886</v>
      </c>
      <c r="D109" s="230" t="s">
        <v>323</v>
      </c>
      <c r="E109" s="375" t="s">
        <v>281</v>
      </c>
      <c r="F109" s="375" t="s">
        <v>281</v>
      </c>
      <c r="G109" s="375" t="s">
        <v>281</v>
      </c>
      <c r="H109" s="320" t="s">
        <v>887</v>
      </c>
      <c r="I109" s="320"/>
      <c r="J109" s="376"/>
      <c r="K109" s="321" t="s">
        <v>101</v>
      </c>
      <c r="L109" s="322" t="str">
        <f>IFERROR(__xludf.DUMMYFUNCTION("IF(COUNTBLANK(B109)&gt;0, """", IFERROR(JOIN("", ""&amp;CHAR(10), FILTER(IMPORTRANGE(""https://docs.google.com/spreadsheets/d/1Fgd7GP5RUQxajuAkULlL-NwY6xKNVDzD6d9lnxn5Xks/"", ""IGNORE: Issues/Risks!$E$5:$E$200""), 
ISNUMBER(SEARCH(B109, IMPORTRANGE(""https://doc"&amp;"s.google.com/spreadsheets/d/1Fgd7GP5RUQxajuAkULlL-NwY6xKNVDzD6d9lnxn5Xks/"", ""IGNORE: Issues/Risks!$J$5:$J$200""))))), ""No Match"")
)"),"No Match")</f>
        <v>No Match</v>
      </c>
      <c r="M109" s="226"/>
      <c r="N109" s="226"/>
      <c r="O109" s="226"/>
      <c r="P109" s="226"/>
      <c r="Q109" s="323"/>
      <c r="R109" s="390"/>
      <c r="S109" s="390"/>
    </row>
    <row r="110" ht="30.75" customHeight="1" outlineLevel="1">
      <c r="A110" s="415"/>
      <c r="B110" s="416"/>
      <c r="C110" s="417"/>
      <c r="D110" s="418"/>
      <c r="E110" s="419"/>
      <c r="F110" s="420"/>
      <c r="G110" s="421"/>
      <c r="H110" s="420"/>
      <c r="I110" s="420"/>
      <c r="J110" s="420"/>
      <c r="K110" s="422"/>
      <c r="L110" s="423" t="str">
        <f>IFERROR(__xludf.DUMMYFUNCTION("IF(COUNTBLANK(B110)&gt;0, """", IFERROR(JOIN("", ""&amp;CHAR(10), FILTER(IMPORTRANGE(""https://docs.google.com/spreadsheets/d/1Fgd7GP5RUQxajuAkULlL-NwY6xKNVDzD6d9lnxn5Xks/"", ""IGNORE: Issues/Risks!$E$5:$E$200""), 
ISNUMBER(SEARCH(B110, IMPORTRANGE(""https://doc"&amp;"s.google.com/spreadsheets/d/1Fgd7GP5RUQxajuAkULlL-NwY6xKNVDzD6d9lnxn5Xks/"", ""IGNORE: Issues/Risks!$J$5:$J$200""))))), ""No Match"")
)"),"")</f>
        <v/>
      </c>
      <c r="M110" s="384"/>
      <c r="N110" s="384"/>
      <c r="O110" s="384"/>
      <c r="P110" s="395"/>
      <c r="Q110" s="395"/>
      <c r="R110" s="395"/>
      <c r="S110" s="395"/>
    </row>
    <row r="111" ht="30.75" customHeight="1" outlineLevel="1">
      <c r="A111" s="259" t="s">
        <v>888</v>
      </c>
      <c r="B111" s="424"/>
      <c r="C111" s="425" t="s">
        <v>889</v>
      </c>
      <c r="D111" s="271"/>
      <c r="E111" s="426"/>
      <c r="F111" s="395"/>
      <c r="G111" s="427"/>
      <c r="H111" s="395"/>
      <c r="I111" s="395"/>
      <c r="J111" s="395"/>
      <c r="K111" s="395"/>
      <c r="L111" s="246" t="str">
        <f>IFERROR(__xludf.DUMMYFUNCTION("IF(COUNTBLANK(B111)&gt;0, """", IFERROR(JOIN("", ""&amp;CHAR(10), FILTER(IMPORTRANGE(""https://docs.google.com/spreadsheets/d/1Fgd7GP5RUQxajuAkULlL-NwY6xKNVDzD6d9lnxn5Xks/"", ""IGNORE: Issues/Risks!$E$5:$E$200""), 
ISNUMBER(SEARCH(B111, IMPORTRANGE(""https://doc"&amp;"s.google.com/spreadsheets/d/1Fgd7GP5RUQxajuAkULlL-NwY6xKNVDzD6d9lnxn5Xks/"", ""IGNORE: Issues/Risks!$J$5:$J$200""))))), ""No Match"")
)"),"")</f>
        <v/>
      </c>
      <c r="M111" s="395"/>
      <c r="N111" s="395"/>
      <c r="O111" s="395"/>
      <c r="P111" s="395"/>
      <c r="Q111" s="395"/>
      <c r="R111" s="395"/>
      <c r="S111" s="395"/>
    </row>
    <row r="112" ht="30.75" customHeight="1" outlineLevel="1">
      <c r="A112" s="259"/>
      <c r="B112" s="424"/>
      <c r="C112" s="116"/>
      <c r="D112" s="271"/>
      <c r="E112" s="426"/>
      <c r="F112" s="395"/>
      <c r="G112" s="427"/>
      <c r="H112" s="395"/>
      <c r="I112" s="395"/>
      <c r="J112" s="395"/>
      <c r="K112" s="395"/>
      <c r="L112" s="428" t="str">
        <f>IFERROR(__xludf.DUMMYFUNCTION("IF(COUNTBLANK(B112)&gt;0, """", IFERROR(JOIN("", ""&amp;CHAR(10), FILTER(IMPORTRANGE(""https://docs.google.com/spreadsheets/d/1Fgd7GP5RUQxajuAkULlL-NwY6xKNVDzD6d9lnxn5Xks/"", ""IGNORE: Issues/Risks!$E$5:$E$200""), 
ISNUMBER(SEARCH(B112, IMPORTRANGE(""https://doc"&amp;"s.google.com/spreadsheets/d/1Fgd7GP5RUQxajuAkULlL-NwY6xKNVDzD6d9lnxn5Xks/"", ""IGNORE: Issues/Risks!$J$5:$J$200""))))), ""No Match"")
)"),"")</f>
        <v/>
      </c>
      <c r="M112" s="395"/>
      <c r="N112" s="395"/>
      <c r="O112" s="395"/>
      <c r="P112" s="395"/>
      <c r="Q112" s="395"/>
      <c r="R112" s="395"/>
      <c r="S112" s="395"/>
    </row>
    <row r="113" ht="30.75" customHeight="1" outlineLevel="1">
      <c r="A113" s="259"/>
      <c r="B113" s="424"/>
      <c r="C113" s="116"/>
      <c r="D113" s="271"/>
      <c r="E113" s="426"/>
      <c r="F113" s="395"/>
      <c r="G113" s="427"/>
      <c r="H113" s="395"/>
      <c r="I113" s="395"/>
      <c r="J113" s="395"/>
      <c r="K113" s="395"/>
      <c r="L113" s="246" t="str">
        <f>IFERROR(__xludf.DUMMYFUNCTION("IF(COUNTBLANK(B113)&gt;0, """", IFERROR(JOIN("", ""&amp;CHAR(10), FILTER(IMPORTRANGE(""https://docs.google.com/spreadsheets/d/1Fgd7GP5RUQxajuAkULlL-NwY6xKNVDzD6d9lnxn5Xks/"", ""IGNORE: Issues/Risks!$E$5:$E$200""), 
ISNUMBER(SEARCH(B113, IMPORTRANGE(""https://doc"&amp;"s.google.com/spreadsheets/d/1Fgd7GP5RUQxajuAkULlL-NwY6xKNVDzD6d9lnxn5Xks/"", ""IGNORE: Issues/Risks!$J$5:$J$200""))))), ""No Match"")
)"),"")</f>
        <v/>
      </c>
      <c r="M113" s="395"/>
      <c r="N113" s="395"/>
      <c r="O113" s="395"/>
      <c r="P113" s="395"/>
      <c r="Q113" s="395"/>
      <c r="R113" s="395"/>
      <c r="S113" s="395"/>
    </row>
    <row r="114" ht="30.75" customHeight="1" outlineLevel="1">
      <c r="A114" s="259"/>
      <c r="B114" s="424"/>
      <c r="C114" s="116"/>
      <c r="D114" s="271"/>
      <c r="E114" s="426"/>
      <c r="F114" s="395"/>
      <c r="G114" s="427"/>
      <c r="H114" s="395"/>
      <c r="I114" s="395"/>
      <c r="J114" s="395"/>
      <c r="K114" s="395"/>
      <c r="L114" s="428" t="str">
        <f>IFERROR(__xludf.DUMMYFUNCTION("IF(COUNTBLANK(B114)&gt;0, """", IFERROR(JOIN("", ""&amp;CHAR(10), FILTER(IMPORTRANGE(""https://docs.google.com/spreadsheets/d/1Fgd7GP5RUQxajuAkULlL-NwY6xKNVDzD6d9lnxn5Xks/"", ""IGNORE: Issues/Risks!$E$5:$E$200""), 
ISNUMBER(SEARCH(B114, IMPORTRANGE(""https://doc"&amp;"s.google.com/spreadsheets/d/1Fgd7GP5RUQxajuAkULlL-NwY6xKNVDzD6d9lnxn5Xks/"", ""IGNORE: Issues/Risks!$J$5:$J$200""))))), ""No Match"")
)"),"")</f>
        <v/>
      </c>
      <c r="M114" s="395"/>
      <c r="N114" s="395"/>
      <c r="O114" s="395"/>
      <c r="P114" s="395"/>
      <c r="Q114" s="395"/>
      <c r="R114" s="395"/>
      <c r="S114" s="395"/>
    </row>
    <row r="115" ht="30.75" customHeight="1" outlineLevel="1">
      <c r="A115" s="259"/>
      <c r="B115" s="424"/>
      <c r="C115" s="116"/>
      <c r="D115" s="271"/>
      <c r="E115" s="426"/>
      <c r="F115" s="395"/>
      <c r="G115" s="427"/>
      <c r="H115" s="395"/>
      <c r="I115" s="395"/>
      <c r="J115" s="395"/>
      <c r="K115" s="395"/>
      <c r="L115" s="246" t="str">
        <f>IFERROR(__xludf.DUMMYFUNCTION("IF(COUNTBLANK(B115)&gt;0, """", IFERROR(JOIN("", ""&amp;CHAR(10), FILTER(IMPORTRANGE(""https://docs.google.com/spreadsheets/d/1Fgd7GP5RUQxajuAkULlL-NwY6xKNVDzD6d9lnxn5Xks/"", ""IGNORE: Issues/Risks!$E$5:$E$200""), 
ISNUMBER(SEARCH(B115, IMPORTRANGE(""https://doc"&amp;"s.google.com/spreadsheets/d/1Fgd7GP5RUQxajuAkULlL-NwY6xKNVDzD6d9lnxn5Xks/"", ""IGNORE: Issues/Risks!$J$5:$J$200""))))), ""No Match"")
)"),"")</f>
        <v/>
      </c>
      <c r="M115" s="395"/>
      <c r="N115" s="395"/>
      <c r="O115" s="395"/>
      <c r="P115" s="395"/>
      <c r="Q115" s="395"/>
      <c r="R115" s="395"/>
      <c r="S115" s="395"/>
    </row>
    <row r="116" ht="30.75" customHeight="1" outlineLevel="1">
      <c r="A116" s="259"/>
      <c r="B116" s="424"/>
      <c r="C116" s="116"/>
      <c r="D116" s="271"/>
      <c r="E116" s="426"/>
      <c r="F116" s="395"/>
      <c r="G116" s="427"/>
      <c r="H116" s="395"/>
      <c r="I116" s="395"/>
      <c r="J116" s="395"/>
      <c r="K116" s="395"/>
      <c r="L116" s="428" t="str">
        <f>IFERROR(__xludf.DUMMYFUNCTION("IF(COUNTBLANK(B116)&gt;0, """", IFERROR(JOIN("", ""&amp;CHAR(10), FILTER(IMPORTRANGE(""https://docs.google.com/spreadsheets/d/1Fgd7GP5RUQxajuAkULlL-NwY6xKNVDzD6d9lnxn5Xks/"", ""IGNORE: Issues/Risks!$E$5:$E$200""), 
ISNUMBER(SEARCH(B116, IMPORTRANGE(""https://doc"&amp;"s.google.com/spreadsheets/d/1Fgd7GP5RUQxajuAkULlL-NwY6xKNVDzD6d9lnxn5Xks/"", ""IGNORE: Issues/Risks!$J$5:$J$200""))))), ""No Match"")
)"),"")</f>
        <v/>
      </c>
      <c r="M116" s="395"/>
      <c r="N116" s="395"/>
      <c r="O116" s="395"/>
      <c r="P116" s="395"/>
      <c r="Q116" s="395"/>
      <c r="R116" s="395"/>
      <c r="S116" s="395"/>
    </row>
    <row r="117" ht="30.75" customHeight="1" outlineLevel="1">
      <c r="A117" s="248"/>
      <c r="B117" s="429"/>
      <c r="C117" s="430"/>
      <c r="D117" s="295"/>
      <c r="E117" s="431"/>
      <c r="F117" s="432"/>
      <c r="G117" s="433"/>
      <c r="H117" s="432"/>
      <c r="I117" s="432"/>
      <c r="J117" s="432"/>
      <c r="K117" s="432"/>
      <c r="L117" s="434" t="str">
        <f>IFERROR(__xludf.DUMMYFUNCTION("IF(COUNTBLANK(B117)&gt;0, """", IFERROR(JOIN("", ""&amp;CHAR(10), FILTER(IMPORTRANGE(""https://docs.google.com/spreadsheets/d/1Fgd7GP5RUQxajuAkULlL-NwY6xKNVDzD6d9lnxn5Xks/"", ""IGNORE: Issues/Risks!$E$5:$E$200""), 
ISNUMBER(SEARCH(B117, IMPORTRANGE(""https://doc"&amp;"s.google.com/spreadsheets/d/1Fgd7GP5RUQxajuAkULlL-NwY6xKNVDzD6d9lnxn5Xks/"", ""IGNORE: Issues/Risks!$J$5:$J$200""))))), ""No Match"")
)"),"")</f>
        <v/>
      </c>
      <c r="M117" s="432"/>
      <c r="N117" s="432"/>
      <c r="O117" s="432"/>
      <c r="P117" s="432"/>
      <c r="Q117" s="432"/>
      <c r="R117" s="432"/>
      <c r="S117" s="432"/>
    </row>
    <row r="118" ht="30.75" customHeight="1" outlineLevel="1">
      <c r="A118" s="259"/>
      <c r="B118" s="424"/>
      <c r="C118" s="116"/>
      <c r="D118" s="271"/>
      <c r="E118" s="426"/>
      <c r="F118" s="395"/>
      <c r="G118" s="427"/>
      <c r="H118" s="395"/>
      <c r="I118" s="395"/>
      <c r="J118" s="395"/>
      <c r="K118" s="395"/>
      <c r="L118" s="428" t="str">
        <f>IFERROR(__xludf.DUMMYFUNCTION("IF(COUNTBLANK(B118)&gt;0, """", IFERROR(JOIN("", ""&amp;CHAR(10), FILTER(IMPORTRANGE(""https://docs.google.com/spreadsheets/d/1Fgd7GP5RUQxajuAkULlL-NwY6xKNVDzD6d9lnxn5Xks/"", ""IGNORE: Issues/Risks!$E$5:$E$200""), 
ISNUMBER(SEARCH(B118, IMPORTRANGE(""https://doc"&amp;"s.google.com/spreadsheets/d/1Fgd7GP5RUQxajuAkULlL-NwY6xKNVDzD6d9lnxn5Xks/"", ""IGNORE: Issues/Risks!$J$5:$J$200""))))), ""No Match"")
)"),"")</f>
        <v/>
      </c>
      <c r="M118" s="395"/>
      <c r="N118" s="395"/>
      <c r="O118" s="395"/>
      <c r="P118" s="395"/>
      <c r="Q118" s="395"/>
      <c r="R118" s="395"/>
      <c r="S118" s="395"/>
    </row>
    <row r="119" ht="30.75" customHeight="1" outlineLevel="1">
      <c r="A119" s="259"/>
      <c r="B119" s="424"/>
      <c r="C119" s="116"/>
      <c r="D119" s="271"/>
      <c r="E119" s="426"/>
      <c r="F119" s="395"/>
      <c r="G119" s="427"/>
      <c r="H119" s="395"/>
      <c r="I119" s="395"/>
      <c r="J119" s="395"/>
      <c r="K119" s="395"/>
      <c r="L119" s="246" t="str">
        <f>IFERROR(__xludf.DUMMYFUNCTION("IF(COUNTBLANK(B119)&gt;0, """", IFERROR(JOIN("", ""&amp;CHAR(10), FILTER(IMPORTRANGE(""https://docs.google.com/spreadsheets/d/1Fgd7GP5RUQxajuAkULlL-NwY6xKNVDzD6d9lnxn5Xks/"", ""IGNORE: Issues/Risks!$E$5:$E$200""), 
ISNUMBER(SEARCH(B119, IMPORTRANGE(""https://doc"&amp;"s.google.com/spreadsheets/d/1Fgd7GP5RUQxajuAkULlL-NwY6xKNVDzD6d9lnxn5Xks/"", ""IGNORE: Issues/Risks!$J$5:$J$200""))))), ""No Match"")
)"),"")</f>
        <v/>
      </c>
      <c r="M119" s="395"/>
      <c r="N119" s="395"/>
      <c r="O119" s="395"/>
      <c r="P119" s="395"/>
      <c r="Q119" s="395"/>
      <c r="R119" s="395"/>
      <c r="S119" s="395"/>
    </row>
    <row r="120" ht="30.75" customHeight="1" outlineLevel="1">
      <c r="A120" s="259"/>
      <c r="B120" s="424"/>
      <c r="C120" s="116"/>
      <c r="D120" s="271"/>
      <c r="E120" s="426"/>
      <c r="F120" s="395"/>
      <c r="G120" s="427"/>
      <c r="H120" s="395"/>
      <c r="I120" s="395"/>
      <c r="J120" s="395"/>
      <c r="K120" s="395"/>
      <c r="L120" s="428" t="str">
        <f>IFERROR(__xludf.DUMMYFUNCTION("IF(COUNTBLANK(B120)&gt;0, """", IFERROR(JOIN("", ""&amp;CHAR(10), FILTER(IMPORTRANGE(""https://docs.google.com/spreadsheets/d/1Fgd7GP5RUQxajuAkULlL-NwY6xKNVDzD6d9lnxn5Xks/"", ""IGNORE: Issues/Risks!$E$5:$E$200""), 
ISNUMBER(SEARCH(B120, IMPORTRANGE(""https://doc"&amp;"s.google.com/spreadsheets/d/1Fgd7GP5RUQxajuAkULlL-NwY6xKNVDzD6d9lnxn5Xks/"", ""IGNORE: Issues/Risks!$J$5:$J$200""))))), ""No Match"")
)"),"")</f>
        <v/>
      </c>
      <c r="M120" s="395"/>
      <c r="N120" s="395"/>
      <c r="O120" s="395"/>
      <c r="P120" s="395"/>
      <c r="Q120" s="395"/>
      <c r="R120" s="395"/>
      <c r="S120" s="395"/>
    </row>
  </sheetData>
  <conditionalFormatting sqref="J2:J120">
    <cfRule type="cellIs" dxfId="1" priority="1" operator="equal">
      <formula>"NOW"</formula>
    </cfRule>
  </conditionalFormatting>
  <conditionalFormatting sqref="J2:J120">
    <cfRule type="cellIs" dxfId="2" priority="2" operator="equal">
      <formula>"NEXT"</formula>
    </cfRule>
  </conditionalFormatting>
  <conditionalFormatting sqref="J2:J120">
    <cfRule type="cellIs" dxfId="3" priority="3" operator="equal">
      <formula>"LATER"</formula>
    </cfRule>
  </conditionalFormatting>
  <dataValidations>
    <dataValidation type="list" allowBlank="1" showErrorMessage="1" sqref="D2:D120">
      <formula1>Configurations!$B$2:$B$11</formula1>
    </dataValidation>
  </dataValidations>
  <drawing r:id="rId2"/>
  <legacyDrawing r:id="rId3"/>
  <tableParts count="1">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6.0" ySplit="1.0" topLeftCell="G2" activePane="bottomRight" state="frozen"/>
      <selection activeCell="G1" sqref="G1" pane="topRight"/>
      <selection activeCell="A2" sqref="A2" pane="bottomLeft"/>
      <selection activeCell="G2" sqref="G2" pane="bottomRight"/>
    </sheetView>
  </sheetViews>
  <sheetFormatPr customHeight="1" defaultColWidth="12.63" defaultRowHeight="15.75" outlineLevelRow="1"/>
  <cols>
    <col customWidth="1" hidden="1" min="2" max="2" width="6.88"/>
    <col customWidth="1" hidden="1" min="3" max="3" width="4.13"/>
    <col customWidth="1" hidden="1" min="4" max="4" width="5.13"/>
    <col customWidth="1" min="5" max="5" width="11.0"/>
    <col customWidth="1" min="6" max="6" width="40.25"/>
    <col customWidth="1" min="7" max="7" width="12.88"/>
    <col customWidth="1" min="11" max="11" width="24.25"/>
    <col customWidth="1" min="12" max="12" width="12.38"/>
    <col customWidth="1" min="13" max="13" width="16.25"/>
    <col customWidth="1" min="14" max="15" width="18.5"/>
    <col customWidth="1" min="16" max="19" width="12.38"/>
  </cols>
  <sheetData>
    <row r="1">
      <c r="A1" s="435" t="s">
        <v>314</v>
      </c>
      <c r="B1" s="435" t="s">
        <v>890</v>
      </c>
      <c r="C1" s="435" t="s">
        <v>891</v>
      </c>
      <c r="D1" s="435" t="s">
        <v>892</v>
      </c>
      <c r="E1" s="435" t="s">
        <v>315</v>
      </c>
      <c r="F1" s="435" t="s">
        <v>893</v>
      </c>
      <c r="G1" s="435" t="s">
        <v>320</v>
      </c>
      <c r="H1" s="435" t="s">
        <v>577</v>
      </c>
      <c r="I1" s="435" t="s">
        <v>578</v>
      </c>
      <c r="J1" s="435" t="s">
        <v>579</v>
      </c>
      <c r="K1" s="435" t="s">
        <v>894</v>
      </c>
      <c r="L1" s="435" t="s">
        <v>318</v>
      </c>
      <c r="M1" s="435" t="s">
        <v>895</v>
      </c>
      <c r="N1" s="435" t="s">
        <v>896</v>
      </c>
      <c r="O1" s="435" t="s">
        <v>897</v>
      </c>
      <c r="P1" s="435" t="s">
        <v>898</v>
      </c>
      <c r="Q1" s="435" t="s">
        <v>557</v>
      </c>
      <c r="R1" s="435" t="s">
        <v>565</v>
      </c>
      <c r="S1" s="435" t="s">
        <v>573</v>
      </c>
    </row>
    <row r="2" ht="31.5" customHeight="1">
      <c r="A2" s="436" t="s">
        <v>585</v>
      </c>
      <c r="B2" s="436" t="s">
        <v>899</v>
      </c>
      <c r="C2" s="436" t="s">
        <v>900</v>
      </c>
      <c r="D2" s="436" t="s">
        <v>900</v>
      </c>
      <c r="E2" s="436" t="str">
        <f t="shared" ref="E2:E10" si="1">"CA-" &amp; B2 &amp; "-" &amp; C2 &amp; "." &amp; D2</f>
        <v>CA-ACT-1.1</v>
      </c>
      <c r="F2" s="437" t="s">
        <v>587</v>
      </c>
      <c r="G2" s="163" t="s">
        <v>323</v>
      </c>
      <c r="H2" s="438" t="s">
        <v>588</v>
      </c>
      <c r="I2" s="439" t="s">
        <v>363</v>
      </c>
      <c r="J2" s="438" t="s">
        <v>281</v>
      </c>
      <c r="K2" s="440" t="s">
        <v>901</v>
      </c>
      <c r="L2" s="441"/>
      <c r="M2" s="442" t="s">
        <v>586</v>
      </c>
      <c r="N2" s="443"/>
      <c r="O2" s="443"/>
      <c r="P2" s="444" t="s">
        <v>902</v>
      </c>
      <c r="Q2" s="444" t="s">
        <v>903</v>
      </c>
      <c r="R2" s="444" t="s">
        <v>903</v>
      </c>
      <c r="S2" s="444" t="s">
        <v>904</v>
      </c>
    </row>
    <row r="3" ht="31.5" customHeight="1" outlineLevel="1">
      <c r="A3" s="445"/>
      <c r="B3" s="445" t="s">
        <v>899</v>
      </c>
      <c r="C3" s="445" t="s">
        <v>905</v>
      </c>
      <c r="D3" s="445" t="s">
        <v>900</v>
      </c>
      <c r="E3" s="445" t="str">
        <f t="shared" si="1"/>
        <v>CA-ACT-2.1</v>
      </c>
      <c r="F3" s="446" t="s">
        <v>592</v>
      </c>
      <c r="G3" s="139" t="s">
        <v>323</v>
      </c>
      <c r="H3" s="447" t="s">
        <v>588</v>
      </c>
      <c r="I3" s="448" t="s">
        <v>363</v>
      </c>
      <c r="J3" s="447" t="s">
        <v>281</v>
      </c>
      <c r="K3" s="449"/>
      <c r="L3" s="450"/>
      <c r="M3" s="451" t="s">
        <v>591</v>
      </c>
      <c r="N3" s="452"/>
      <c r="O3" s="452"/>
      <c r="P3" s="453" t="s">
        <v>902</v>
      </c>
      <c r="Q3" s="453" t="s">
        <v>903</v>
      </c>
      <c r="R3" s="453" t="s">
        <v>906</v>
      </c>
      <c r="S3" s="453" t="s">
        <v>907</v>
      </c>
    </row>
    <row r="4" ht="31.5" customHeight="1" outlineLevel="1">
      <c r="A4" s="436"/>
      <c r="B4" s="436" t="s">
        <v>899</v>
      </c>
      <c r="C4" s="436" t="s">
        <v>908</v>
      </c>
      <c r="D4" s="436" t="s">
        <v>900</v>
      </c>
      <c r="E4" s="436" t="str">
        <f t="shared" si="1"/>
        <v>CA-ACT-3.1</v>
      </c>
      <c r="F4" s="454" t="s">
        <v>596</v>
      </c>
      <c r="G4" s="152" t="s">
        <v>323</v>
      </c>
      <c r="H4" s="455" t="s">
        <v>588</v>
      </c>
      <c r="I4" s="456" t="s">
        <v>363</v>
      </c>
      <c r="J4" s="455" t="s">
        <v>281</v>
      </c>
      <c r="K4" s="440"/>
      <c r="L4" s="441"/>
      <c r="M4" s="457" t="s">
        <v>595</v>
      </c>
      <c r="N4" s="458"/>
      <c r="O4" s="458"/>
      <c r="P4" s="444" t="s">
        <v>902</v>
      </c>
      <c r="Q4" s="444" t="s">
        <v>903</v>
      </c>
      <c r="R4" s="444" t="s">
        <v>906</v>
      </c>
      <c r="S4" s="444" t="s">
        <v>907</v>
      </c>
    </row>
    <row r="5" ht="31.5" customHeight="1" outlineLevel="1">
      <c r="A5" s="445"/>
      <c r="B5" s="445" t="s">
        <v>899</v>
      </c>
      <c r="C5" s="445" t="s">
        <v>909</v>
      </c>
      <c r="D5" s="445" t="s">
        <v>900</v>
      </c>
      <c r="E5" s="445" t="str">
        <f t="shared" si="1"/>
        <v>CA-ACT-4.1</v>
      </c>
      <c r="F5" s="446" t="s">
        <v>600</v>
      </c>
      <c r="G5" s="139" t="s">
        <v>323</v>
      </c>
      <c r="H5" s="448" t="s">
        <v>351</v>
      </c>
      <c r="I5" s="448" t="s">
        <v>363</v>
      </c>
      <c r="J5" s="447" t="s">
        <v>281</v>
      </c>
      <c r="K5" s="449"/>
      <c r="L5" s="450"/>
      <c r="M5" s="451" t="s">
        <v>599</v>
      </c>
      <c r="N5" s="452"/>
      <c r="O5" s="452"/>
      <c r="P5" s="453" t="s">
        <v>902</v>
      </c>
      <c r="Q5" s="453" t="s">
        <v>903</v>
      </c>
      <c r="R5" s="453" t="s">
        <v>904</v>
      </c>
      <c r="S5" s="459" t="s">
        <v>910</v>
      </c>
    </row>
    <row r="6" ht="31.5" customHeight="1" outlineLevel="1">
      <c r="A6" s="436"/>
      <c r="B6" s="436" t="s">
        <v>899</v>
      </c>
      <c r="C6" s="436" t="s">
        <v>911</v>
      </c>
      <c r="D6" s="436" t="s">
        <v>900</v>
      </c>
      <c r="E6" s="436" t="str">
        <f t="shared" si="1"/>
        <v>CA-ACT-5.1</v>
      </c>
      <c r="F6" s="454" t="s">
        <v>603</v>
      </c>
      <c r="G6" s="152" t="s">
        <v>323</v>
      </c>
      <c r="H6" s="455" t="s">
        <v>588</v>
      </c>
      <c r="I6" s="456" t="s">
        <v>363</v>
      </c>
      <c r="J6" s="455" t="s">
        <v>281</v>
      </c>
      <c r="K6" s="440"/>
      <c r="L6" s="441"/>
      <c r="M6" s="457" t="s">
        <v>602</v>
      </c>
      <c r="N6" s="458"/>
      <c r="O6" s="444"/>
      <c r="P6" s="444" t="s">
        <v>902</v>
      </c>
      <c r="Q6" s="444" t="s">
        <v>903</v>
      </c>
      <c r="R6" s="444" t="s">
        <v>904</v>
      </c>
      <c r="S6" s="460" t="s">
        <v>910</v>
      </c>
    </row>
    <row r="7" ht="31.5" customHeight="1" outlineLevel="1">
      <c r="A7" s="445"/>
      <c r="B7" s="445" t="s">
        <v>899</v>
      </c>
      <c r="C7" s="445" t="s">
        <v>912</v>
      </c>
      <c r="D7" s="445" t="s">
        <v>900</v>
      </c>
      <c r="E7" s="445" t="str">
        <f t="shared" si="1"/>
        <v>CA-ACT-6.1</v>
      </c>
      <c r="F7" s="135" t="s">
        <v>913</v>
      </c>
      <c r="G7" s="139" t="s">
        <v>323</v>
      </c>
      <c r="H7" s="447" t="s">
        <v>588</v>
      </c>
      <c r="I7" s="448" t="s">
        <v>363</v>
      </c>
      <c r="J7" s="447" t="s">
        <v>281</v>
      </c>
      <c r="K7" s="449"/>
      <c r="L7" s="450"/>
      <c r="M7" s="451" t="s">
        <v>605</v>
      </c>
      <c r="N7" s="452"/>
      <c r="O7" s="452"/>
      <c r="P7" s="453" t="s">
        <v>902</v>
      </c>
      <c r="Q7" s="459" t="s">
        <v>903</v>
      </c>
      <c r="R7" s="453" t="s">
        <v>906</v>
      </c>
      <c r="S7" s="453" t="s">
        <v>907</v>
      </c>
    </row>
    <row r="8" ht="31.5" customHeight="1" outlineLevel="1">
      <c r="A8" s="436"/>
      <c r="B8" s="436" t="s">
        <v>899</v>
      </c>
      <c r="C8" s="436" t="s">
        <v>912</v>
      </c>
      <c r="D8" s="436" t="s">
        <v>905</v>
      </c>
      <c r="E8" s="436" t="str">
        <f t="shared" si="1"/>
        <v>CA-ACT-6.2</v>
      </c>
      <c r="F8" s="130" t="s">
        <v>914</v>
      </c>
      <c r="G8" s="152" t="s">
        <v>323</v>
      </c>
      <c r="H8" s="455" t="s">
        <v>588</v>
      </c>
      <c r="I8" s="456" t="s">
        <v>363</v>
      </c>
      <c r="J8" s="455" t="s">
        <v>281</v>
      </c>
      <c r="K8" s="440"/>
      <c r="L8" s="441"/>
      <c r="M8" s="457" t="s">
        <v>605</v>
      </c>
      <c r="N8" s="458"/>
      <c r="O8" s="458"/>
      <c r="P8" s="444" t="s">
        <v>902</v>
      </c>
      <c r="Q8" s="460" t="s">
        <v>903</v>
      </c>
      <c r="R8" s="444" t="s">
        <v>906</v>
      </c>
      <c r="S8" s="444" t="s">
        <v>907</v>
      </c>
    </row>
    <row r="9" ht="31.5" customHeight="1" outlineLevel="1">
      <c r="A9" s="445"/>
      <c r="B9" s="445" t="s">
        <v>899</v>
      </c>
      <c r="C9" s="445" t="s">
        <v>915</v>
      </c>
      <c r="D9" s="445" t="s">
        <v>900</v>
      </c>
      <c r="E9" s="445" t="str">
        <f t="shared" si="1"/>
        <v>CA-ACT-7.1</v>
      </c>
      <c r="F9" s="135" t="s">
        <v>916</v>
      </c>
      <c r="G9" s="139" t="s">
        <v>323</v>
      </c>
      <c r="H9" s="447" t="s">
        <v>588</v>
      </c>
      <c r="I9" s="448" t="s">
        <v>363</v>
      </c>
      <c r="J9" s="447" t="s">
        <v>281</v>
      </c>
      <c r="K9" s="449"/>
      <c r="L9" s="450"/>
      <c r="M9" s="451" t="s">
        <v>608</v>
      </c>
      <c r="N9" s="452"/>
      <c r="O9" s="452"/>
      <c r="P9" s="453" t="s">
        <v>917</v>
      </c>
      <c r="Q9" s="453" t="s">
        <v>906</v>
      </c>
      <c r="R9" s="453" t="s">
        <v>907</v>
      </c>
      <c r="S9" s="459" t="s">
        <v>910</v>
      </c>
    </row>
    <row r="10" ht="31.5" customHeight="1" outlineLevel="1">
      <c r="A10" s="436"/>
      <c r="B10" s="436" t="s">
        <v>899</v>
      </c>
      <c r="C10" s="436" t="s">
        <v>915</v>
      </c>
      <c r="D10" s="436" t="s">
        <v>905</v>
      </c>
      <c r="E10" s="436" t="str">
        <f t="shared" si="1"/>
        <v>CA-ACT-7.2</v>
      </c>
      <c r="F10" s="130" t="s">
        <v>918</v>
      </c>
      <c r="G10" s="152" t="s">
        <v>323</v>
      </c>
      <c r="H10" s="456" t="s">
        <v>692</v>
      </c>
      <c r="I10" s="456" t="s">
        <v>363</v>
      </c>
      <c r="J10" s="455" t="s">
        <v>281</v>
      </c>
      <c r="K10" s="440"/>
      <c r="L10" s="441"/>
      <c r="M10" s="457" t="s">
        <v>608</v>
      </c>
      <c r="N10" s="458"/>
      <c r="O10" s="458"/>
      <c r="P10" s="444" t="s">
        <v>917</v>
      </c>
      <c r="Q10" s="444" t="s">
        <v>906</v>
      </c>
      <c r="R10" s="444" t="s">
        <v>907</v>
      </c>
      <c r="S10" s="460" t="s">
        <v>910</v>
      </c>
    </row>
    <row r="11" ht="31.5" customHeight="1" outlineLevel="1">
      <c r="A11" s="445"/>
      <c r="B11" s="445"/>
      <c r="C11" s="445"/>
      <c r="D11" s="445"/>
      <c r="E11" s="445"/>
      <c r="F11" s="461"/>
      <c r="G11" s="462"/>
      <c r="H11" s="463"/>
      <c r="I11" s="463"/>
      <c r="J11" s="464"/>
      <c r="K11" s="449"/>
      <c r="L11" s="450"/>
      <c r="M11" s="452"/>
      <c r="N11" s="452"/>
      <c r="O11" s="452"/>
      <c r="P11" s="453"/>
      <c r="Q11" s="453"/>
      <c r="R11" s="453"/>
      <c r="S11" s="459"/>
    </row>
    <row r="12" ht="31.5" customHeight="1" outlineLevel="1">
      <c r="A12" s="436"/>
      <c r="B12" s="436"/>
      <c r="C12" s="436"/>
      <c r="D12" s="436"/>
      <c r="E12" s="436"/>
      <c r="F12" s="465" t="s">
        <v>919</v>
      </c>
      <c r="G12" s="466"/>
      <c r="H12" s="467"/>
      <c r="I12" s="467"/>
      <c r="J12" s="468"/>
      <c r="K12" s="440"/>
      <c r="L12" s="441"/>
      <c r="M12" s="460" t="s">
        <v>920</v>
      </c>
      <c r="N12" s="458"/>
      <c r="O12" s="458"/>
      <c r="P12" s="444"/>
      <c r="Q12" s="444"/>
      <c r="R12" s="444"/>
      <c r="S12" s="460"/>
    </row>
    <row r="13" ht="31.5" customHeight="1" outlineLevel="1">
      <c r="A13" s="445"/>
      <c r="B13" s="445"/>
      <c r="C13" s="445"/>
      <c r="D13" s="445"/>
      <c r="E13" s="445"/>
      <c r="F13" s="469" t="s">
        <v>921</v>
      </c>
      <c r="G13" s="462"/>
      <c r="H13" s="463"/>
      <c r="I13" s="463"/>
      <c r="J13" s="464"/>
      <c r="K13" s="449"/>
      <c r="L13" s="450"/>
      <c r="M13" s="459" t="s">
        <v>922</v>
      </c>
      <c r="N13" s="452"/>
      <c r="O13" s="452"/>
      <c r="P13" s="453"/>
      <c r="Q13" s="453"/>
      <c r="R13" s="453"/>
      <c r="S13" s="459"/>
    </row>
    <row r="14" ht="31.5" customHeight="1" outlineLevel="1">
      <c r="A14" s="436"/>
      <c r="B14" s="436"/>
      <c r="C14" s="436"/>
      <c r="D14" s="436"/>
      <c r="E14" s="436"/>
      <c r="F14" s="465" t="s">
        <v>923</v>
      </c>
      <c r="G14" s="466"/>
      <c r="H14" s="467"/>
      <c r="I14" s="467"/>
      <c r="J14" s="468"/>
      <c r="K14" s="440"/>
      <c r="L14" s="441"/>
      <c r="M14" s="460" t="s">
        <v>924</v>
      </c>
      <c r="N14" s="458"/>
      <c r="O14" s="458"/>
      <c r="P14" s="444"/>
      <c r="Q14" s="444"/>
      <c r="R14" s="444"/>
      <c r="S14" s="460"/>
    </row>
    <row r="15" ht="31.5" customHeight="1" outlineLevel="1">
      <c r="A15" s="445"/>
      <c r="B15" s="445"/>
      <c r="C15" s="445"/>
      <c r="D15" s="445"/>
      <c r="E15" s="445"/>
      <c r="F15" s="469" t="s">
        <v>925</v>
      </c>
      <c r="G15" s="462"/>
      <c r="H15" s="463"/>
      <c r="I15" s="463"/>
      <c r="J15" s="464"/>
      <c r="K15" s="449"/>
      <c r="L15" s="450"/>
      <c r="M15" s="452"/>
      <c r="N15" s="452"/>
      <c r="O15" s="452"/>
      <c r="P15" s="453"/>
      <c r="Q15" s="453"/>
      <c r="R15" s="453"/>
      <c r="S15" s="459"/>
    </row>
    <row r="16" ht="31.5" customHeight="1" outlineLevel="1">
      <c r="A16" s="436"/>
      <c r="B16" s="436"/>
      <c r="C16" s="436"/>
      <c r="D16" s="436"/>
      <c r="E16" s="436"/>
      <c r="F16" s="465" t="s">
        <v>926</v>
      </c>
      <c r="G16" s="466"/>
      <c r="H16" s="467"/>
      <c r="I16" s="467"/>
      <c r="J16" s="468"/>
      <c r="K16" s="440"/>
      <c r="L16" s="441"/>
      <c r="M16" s="458"/>
      <c r="N16" s="458"/>
      <c r="O16" s="458"/>
      <c r="P16" s="444"/>
      <c r="Q16" s="444"/>
      <c r="R16" s="444"/>
      <c r="S16" s="460"/>
    </row>
    <row r="17" ht="31.5" customHeight="1" outlineLevel="1">
      <c r="A17" s="445"/>
      <c r="B17" s="445"/>
      <c r="C17" s="445"/>
      <c r="D17" s="445"/>
      <c r="E17" s="445"/>
      <c r="F17" s="469" t="s">
        <v>927</v>
      </c>
      <c r="G17" s="462"/>
      <c r="H17" s="463"/>
      <c r="I17" s="463"/>
      <c r="J17" s="464"/>
      <c r="K17" s="449"/>
      <c r="L17" s="450"/>
      <c r="M17" s="452"/>
      <c r="N17" s="452"/>
      <c r="O17" s="452"/>
      <c r="P17" s="453"/>
      <c r="Q17" s="453"/>
      <c r="R17" s="453"/>
      <c r="S17" s="459"/>
    </row>
    <row r="18" ht="31.5" customHeight="1" outlineLevel="1">
      <c r="A18" s="436"/>
      <c r="B18" s="436"/>
      <c r="C18" s="436"/>
      <c r="D18" s="436"/>
      <c r="E18" s="436"/>
      <c r="F18" s="465" t="s">
        <v>928</v>
      </c>
      <c r="G18" s="466"/>
      <c r="H18" s="467"/>
      <c r="I18" s="467"/>
      <c r="J18" s="468"/>
      <c r="K18" s="440"/>
      <c r="L18" s="441"/>
      <c r="M18" s="458"/>
      <c r="N18" s="458"/>
      <c r="O18" s="458"/>
      <c r="P18" s="444"/>
      <c r="Q18" s="444"/>
      <c r="R18" s="444"/>
      <c r="S18" s="460"/>
    </row>
    <row r="19" ht="31.5" customHeight="1" outlineLevel="1">
      <c r="A19" s="445"/>
      <c r="B19" s="445"/>
      <c r="C19" s="445"/>
      <c r="D19" s="445"/>
      <c r="E19" s="445"/>
      <c r="F19" s="469" t="s">
        <v>929</v>
      </c>
      <c r="G19" s="462"/>
      <c r="H19" s="463"/>
      <c r="I19" s="463"/>
      <c r="J19" s="464"/>
      <c r="K19" s="449"/>
      <c r="L19" s="450"/>
      <c r="M19" s="452"/>
      <c r="N19" s="452"/>
      <c r="O19" s="452"/>
      <c r="P19" s="453"/>
      <c r="Q19" s="453"/>
      <c r="R19" s="453"/>
      <c r="S19" s="459"/>
    </row>
    <row r="20" ht="31.5" customHeight="1" outlineLevel="1">
      <c r="A20" s="436"/>
      <c r="B20" s="436"/>
      <c r="C20" s="436"/>
      <c r="D20" s="436"/>
      <c r="E20" s="436"/>
      <c r="F20" s="465" t="s">
        <v>930</v>
      </c>
      <c r="G20" s="466"/>
      <c r="H20" s="467"/>
      <c r="I20" s="467"/>
      <c r="J20" s="468"/>
      <c r="K20" s="440"/>
      <c r="L20" s="441"/>
      <c r="M20" s="458"/>
      <c r="N20" s="458"/>
      <c r="O20" s="458"/>
      <c r="P20" s="444"/>
      <c r="Q20" s="444"/>
      <c r="R20" s="444"/>
      <c r="S20" s="460"/>
    </row>
    <row r="21" ht="31.5" customHeight="1" outlineLevel="1">
      <c r="A21" s="445"/>
      <c r="B21" s="445"/>
      <c r="C21" s="445"/>
      <c r="D21" s="445"/>
      <c r="E21" s="445"/>
      <c r="F21" s="469" t="s">
        <v>931</v>
      </c>
      <c r="G21" s="462"/>
      <c r="H21" s="463"/>
      <c r="I21" s="463"/>
      <c r="J21" s="464"/>
      <c r="K21" s="449"/>
      <c r="L21" s="450"/>
      <c r="M21" s="452"/>
      <c r="N21" s="452"/>
      <c r="O21" s="452"/>
      <c r="P21" s="453"/>
      <c r="Q21" s="453"/>
      <c r="R21" s="453"/>
      <c r="S21" s="459"/>
    </row>
    <row r="22" ht="31.5" customHeight="1" outlineLevel="1">
      <c r="A22" s="436"/>
      <c r="B22" s="436"/>
      <c r="C22" s="436"/>
      <c r="D22" s="436"/>
      <c r="E22" s="436"/>
      <c r="F22" s="465" t="s">
        <v>932</v>
      </c>
      <c r="G22" s="466"/>
      <c r="H22" s="467"/>
      <c r="I22" s="467"/>
      <c r="J22" s="468"/>
      <c r="K22" s="440"/>
      <c r="L22" s="441"/>
      <c r="M22" s="458"/>
      <c r="N22" s="458"/>
      <c r="O22" s="458"/>
      <c r="P22" s="444"/>
      <c r="Q22" s="444"/>
      <c r="R22" s="444"/>
      <c r="S22" s="460"/>
    </row>
    <row r="23" ht="31.5" customHeight="1" outlineLevel="1">
      <c r="A23" s="445"/>
      <c r="B23" s="445"/>
      <c r="C23" s="445"/>
      <c r="D23" s="445"/>
      <c r="E23" s="445"/>
      <c r="F23" s="469" t="s">
        <v>933</v>
      </c>
      <c r="G23" s="462"/>
      <c r="H23" s="463"/>
      <c r="I23" s="463"/>
      <c r="J23" s="464"/>
      <c r="K23" s="449"/>
      <c r="L23" s="450"/>
      <c r="M23" s="452"/>
      <c r="N23" s="452"/>
      <c r="O23" s="452"/>
      <c r="P23" s="453"/>
      <c r="Q23" s="453"/>
      <c r="R23" s="453"/>
      <c r="S23" s="459"/>
    </row>
    <row r="24" ht="31.5" customHeight="1" outlineLevel="1">
      <c r="A24" s="436"/>
      <c r="B24" s="436"/>
      <c r="C24" s="436"/>
      <c r="D24" s="436"/>
      <c r="E24" s="436"/>
      <c r="F24" s="465" t="s">
        <v>934</v>
      </c>
      <c r="G24" s="466"/>
      <c r="H24" s="467"/>
      <c r="I24" s="467"/>
      <c r="J24" s="468"/>
      <c r="K24" s="440"/>
      <c r="L24" s="441"/>
      <c r="M24" s="458"/>
      <c r="N24" s="458"/>
      <c r="O24" s="458"/>
      <c r="P24" s="444"/>
      <c r="Q24" s="444"/>
      <c r="R24" s="444"/>
      <c r="S24" s="460"/>
    </row>
    <row r="25" ht="31.5" customHeight="1" outlineLevel="1">
      <c r="A25" s="445"/>
      <c r="B25" s="445"/>
      <c r="C25" s="445"/>
      <c r="D25" s="445"/>
      <c r="E25" s="445"/>
      <c r="F25" s="469"/>
      <c r="G25" s="462"/>
      <c r="H25" s="463"/>
      <c r="I25" s="463"/>
      <c r="J25" s="464"/>
      <c r="K25" s="449"/>
      <c r="L25" s="450"/>
      <c r="M25" s="452"/>
      <c r="N25" s="452"/>
      <c r="O25" s="452"/>
      <c r="P25" s="453"/>
      <c r="Q25" s="453"/>
      <c r="R25" s="453"/>
      <c r="S25" s="459"/>
    </row>
    <row r="26" ht="31.5" customHeight="1" outlineLevel="1">
      <c r="A26" s="436"/>
      <c r="B26" s="436"/>
      <c r="C26" s="436"/>
      <c r="D26" s="436"/>
      <c r="E26" s="436"/>
      <c r="F26" s="465"/>
      <c r="G26" s="466"/>
      <c r="H26" s="467"/>
      <c r="I26" s="467"/>
      <c r="J26" s="468"/>
      <c r="K26" s="440"/>
      <c r="L26" s="441"/>
      <c r="M26" s="458"/>
      <c r="N26" s="458"/>
      <c r="O26" s="458"/>
      <c r="P26" s="444"/>
      <c r="Q26" s="444"/>
      <c r="R26" s="444"/>
      <c r="S26" s="460"/>
    </row>
    <row r="27" ht="31.5" customHeight="1" outlineLevel="1">
      <c r="A27" s="445"/>
      <c r="B27" s="445"/>
      <c r="C27" s="445"/>
      <c r="D27" s="445"/>
      <c r="E27" s="445"/>
      <c r="F27" s="469"/>
      <c r="G27" s="462"/>
      <c r="H27" s="463"/>
      <c r="I27" s="463"/>
      <c r="J27" s="464"/>
      <c r="K27" s="449"/>
      <c r="L27" s="450"/>
      <c r="M27" s="452"/>
      <c r="N27" s="452"/>
      <c r="O27" s="452"/>
      <c r="P27" s="453"/>
      <c r="Q27" s="453"/>
      <c r="R27" s="453"/>
      <c r="S27" s="459"/>
    </row>
    <row r="28" ht="31.5" customHeight="1" outlineLevel="1">
      <c r="A28" s="436"/>
      <c r="B28" s="436"/>
      <c r="C28" s="436"/>
      <c r="D28" s="436"/>
      <c r="E28" s="436"/>
      <c r="F28" s="465"/>
      <c r="G28" s="466"/>
      <c r="H28" s="467"/>
      <c r="I28" s="467"/>
      <c r="J28" s="468"/>
      <c r="K28" s="440"/>
      <c r="L28" s="441"/>
      <c r="M28" s="458"/>
      <c r="N28" s="458"/>
      <c r="O28" s="458"/>
      <c r="P28" s="444"/>
      <c r="Q28" s="444"/>
      <c r="R28" s="444"/>
      <c r="S28" s="460"/>
    </row>
    <row r="29" ht="31.5" customHeight="1" outlineLevel="1">
      <c r="A29" s="470"/>
      <c r="B29" s="470"/>
      <c r="C29" s="470"/>
      <c r="D29" s="470"/>
      <c r="E29" s="470"/>
      <c r="F29" s="471"/>
      <c r="G29" s="472"/>
      <c r="H29" s="473"/>
      <c r="I29" s="473"/>
      <c r="J29" s="474"/>
      <c r="K29" s="475"/>
      <c r="L29" s="476"/>
      <c r="M29" s="477"/>
      <c r="N29" s="477"/>
      <c r="O29" s="477"/>
      <c r="P29" s="477"/>
      <c r="Q29" s="477"/>
      <c r="R29" s="477"/>
      <c r="S29" s="477"/>
    </row>
    <row r="30" ht="31.5" customHeight="1">
      <c r="A30" s="436" t="s">
        <v>578</v>
      </c>
      <c r="B30" s="436" t="s">
        <v>452</v>
      </c>
      <c r="C30" s="436" t="s">
        <v>900</v>
      </c>
      <c r="D30" s="436" t="s">
        <v>900</v>
      </c>
      <c r="E30" s="436" t="str">
        <f t="shared" ref="E30:E31" si="2">"CA-" &amp; B30 &amp; "-" &amp; C30 &amp; "." &amp; D30</f>
        <v>CA-ENV-1.1</v>
      </c>
      <c r="F30" s="478" t="s">
        <v>935</v>
      </c>
      <c r="G30" s="479" t="s">
        <v>323</v>
      </c>
      <c r="H30" s="438" t="s">
        <v>588</v>
      </c>
      <c r="I30" s="439" t="s">
        <v>366</v>
      </c>
      <c r="J30" s="438" t="s">
        <v>281</v>
      </c>
      <c r="K30" s="480" t="s">
        <v>936</v>
      </c>
      <c r="L30" s="441"/>
      <c r="M30" s="481" t="s">
        <v>665</v>
      </c>
      <c r="N30" s="481"/>
      <c r="O30" s="481"/>
      <c r="P30" s="444" t="s">
        <v>906</v>
      </c>
      <c r="Q30" s="444" t="s">
        <v>904</v>
      </c>
      <c r="R30" s="444" t="s">
        <v>907</v>
      </c>
      <c r="S30" s="460" t="s">
        <v>910</v>
      </c>
    </row>
    <row r="31" ht="31.5" customHeight="1" outlineLevel="1">
      <c r="A31" s="445"/>
      <c r="B31" s="445" t="s">
        <v>452</v>
      </c>
      <c r="C31" s="445" t="s">
        <v>905</v>
      </c>
      <c r="D31" s="445" t="s">
        <v>900</v>
      </c>
      <c r="E31" s="445" t="str">
        <f t="shared" si="2"/>
        <v>CA-ENV-2.1</v>
      </c>
      <c r="F31" s="482" t="s">
        <v>937</v>
      </c>
      <c r="G31" s="483" t="s">
        <v>323</v>
      </c>
      <c r="H31" s="447" t="s">
        <v>588</v>
      </c>
      <c r="I31" s="447" t="s">
        <v>366</v>
      </c>
      <c r="J31" s="447" t="s">
        <v>281</v>
      </c>
      <c r="K31" s="484" t="s">
        <v>936</v>
      </c>
      <c r="L31" s="450"/>
      <c r="M31" s="485" t="s">
        <v>665</v>
      </c>
      <c r="N31" s="485"/>
      <c r="O31" s="485"/>
      <c r="P31" s="453" t="s">
        <v>906</v>
      </c>
      <c r="Q31" s="453" t="s">
        <v>904</v>
      </c>
      <c r="R31" s="453" t="s">
        <v>907</v>
      </c>
      <c r="S31" s="459" t="s">
        <v>910</v>
      </c>
    </row>
    <row r="32" ht="31.5" customHeight="1" outlineLevel="1">
      <c r="A32" s="486"/>
      <c r="B32" s="486"/>
      <c r="C32" s="486"/>
      <c r="D32" s="486"/>
      <c r="E32" s="486"/>
      <c r="F32" s="487"/>
      <c r="G32" s="488"/>
      <c r="H32" s="489"/>
      <c r="I32" s="490"/>
      <c r="J32" s="491"/>
      <c r="K32" s="492"/>
      <c r="L32" s="493"/>
      <c r="M32" s="494"/>
      <c r="N32" s="494"/>
      <c r="O32" s="494"/>
      <c r="P32" s="494"/>
      <c r="Q32" s="494"/>
      <c r="R32" s="494"/>
      <c r="S32" s="494"/>
    </row>
    <row r="33" ht="31.5" customHeight="1">
      <c r="A33" s="445" t="s">
        <v>938</v>
      </c>
      <c r="B33" s="445" t="s">
        <v>939</v>
      </c>
      <c r="C33" s="445" t="s">
        <v>900</v>
      </c>
      <c r="D33" s="445" t="s">
        <v>900</v>
      </c>
      <c r="E33" s="445" t="str">
        <f t="shared" ref="E33:E37" si="3">"CA-" &amp; B33 &amp; "-" &amp; C33 &amp; "." &amp; D33</f>
        <v>CA-LOC-1.1</v>
      </c>
      <c r="F33" s="482" t="s">
        <v>614</v>
      </c>
      <c r="G33" s="483" t="s">
        <v>323</v>
      </c>
      <c r="H33" s="495" t="s">
        <v>588</v>
      </c>
      <c r="I33" s="496" t="s">
        <v>363</v>
      </c>
      <c r="J33" s="497" t="s">
        <v>281</v>
      </c>
      <c r="K33" s="449" t="s">
        <v>940</v>
      </c>
      <c r="L33" s="450"/>
      <c r="M33" s="485" t="s">
        <v>613</v>
      </c>
      <c r="N33" s="485"/>
      <c r="O33" s="485"/>
      <c r="P33" s="453" t="s">
        <v>902</v>
      </c>
      <c r="Q33" s="498">
        <v>45962.0</v>
      </c>
      <c r="R33" s="498">
        <v>45962.0</v>
      </c>
      <c r="S33" s="498">
        <v>46113.0</v>
      </c>
    </row>
    <row r="34" ht="31.5" customHeight="1" outlineLevel="1">
      <c r="A34" s="436"/>
      <c r="B34" s="436" t="s">
        <v>939</v>
      </c>
      <c r="C34" s="436" t="s">
        <v>905</v>
      </c>
      <c r="D34" s="436" t="s">
        <v>900</v>
      </c>
      <c r="E34" s="436" t="str">
        <f t="shared" si="3"/>
        <v>CA-LOC-2.1</v>
      </c>
      <c r="F34" s="478" t="s">
        <v>941</v>
      </c>
      <c r="G34" s="479" t="s">
        <v>323</v>
      </c>
      <c r="H34" s="455" t="s">
        <v>588</v>
      </c>
      <c r="I34" s="456" t="s">
        <v>363</v>
      </c>
      <c r="J34" s="499" t="s">
        <v>281</v>
      </c>
      <c r="K34" s="440" t="s">
        <v>942</v>
      </c>
      <c r="L34" s="441"/>
      <c r="M34" s="481" t="s">
        <v>617</v>
      </c>
      <c r="N34" s="481"/>
      <c r="O34" s="481"/>
      <c r="P34" s="444" t="s">
        <v>902</v>
      </c>
      <c r="Q34" s="500">
        <v>45962.0</v>
      </c>
      <c r="R34" s="500">
        <v>46113.0</v>
      </c>
      <c r="S34" s="500">
        <v>46204.0</v>
      </c>
    </row>
    <row r="35" ht="31.5" customHeight="1" outlineLevel="1">
      <c r="A35" s="445"/>
      <c r="B35" s="445" t="s">
        <v>939</v>
      </c>
      <c r="C35" s="445" t="s">
        <v>908</v>
      </c>
      <c r="D35" s="445" t="s">
        <v>900</v>
      </c>
      <c r="E35" s="445" t="str">
        <f t="shared" si="3"/>
        <v>CA-LOC-3.1</v>
      </c>
      <c r="F35" s="482" t="s">
        <v>943</v>
      </c>
      <c r="G35" s="483" t="s">
        <v>323</v>
      </c>
      <c r="H35" s="447" t="s">
        <v>588</v>
      </c>
      <c r="I35" s="448" t="s">
        <v>363</v>
      </c>
      <c r="J35" s="448" t="s">
        <v>628</v>
      </c>
      <c r="K35" s="449" t="s">
        <v>944</v>
      </c>
      <c r="L35" s="450"/>
      <c r="M35" s="485" t="s">
        <v>626</v>
      </c>
      <c r="N35" s="485"/>
      <c r="O35" s="485"/>
      <c r="P35" s="453" t="s">
        <v>902</v>
      </c>
      <c r="Q35" s="498">
        <v>45962.0</v>
      </c>
      <c r="R35" s="498">
        <v>45962.0</v>
      </c>
      <c r="S35" s="498">
        <v>46113.0</v>
      </c>
    </row>
    <row r="36" ht="31.5" customHeight="1" outlineLevel="1">
      <c r="A36" s="436"/>
      <c r="B36" s="436" t="s">
        <v>939</v>
      </c>
      <c r="C36" s="436" t="s">
        <v>909</v>
      </c>
      <c r="D36" s="436" t="s">
        <v>900</v>
      </c>
      <c r="E36" s="436" t="str">
        <f t="shared" si="3"/>
        <v>CA-LOC-4.1</v>
      </c>
      <c r="F36" s="478" t="s">
        <v>945</v>
      </c>
      <c r="G36" s="479" t="s">
        <v>323</v>
      </c>
      <c r="H36" s="455" t="s">
        <v>588</v>
      </c>
      <c r="I36" s="456" t="s">
        <v>363</v>
      </c>
      <c r="J36" s="499" t="s">
        <v>281</v>
      </c>
      <c r="K36" s="440"/>
      <c r="L36" s="441"/>
      <c r="M36" s="481" t="s">
        <v>621</v>
      </c>
      <c r="N36" s="481"/>
      <c r="O36" s="481"/>
      <c r="P36" s="444" t="s">
        <v>902</v>
      </c>
      <c r="Q36" s="500">
        <v>45962.0</v>
      </c>
      <c r="R36" s="500">
        <v>45962.0</v>
      </c>
      <c r="S36" s="500">
        <v>46113.0</v>
      </c>
    </row>
    <row r="37" ht="31.5" customHeight="1" outlineLevel="1">
      <c r="A37" s="445"/>
      <c r="B37" s="445" t="s">
        <v>939</v>
      </c>
      <c r="C37" s="445" t="s">
        <v>909</v>
      </c>
      <c r="D37" s="445" t="s">
        <v>905</v>
      </c>
      <c r="E37" s="445" t="str">
        <f t="shared" si="3"/>
        <v>CA-LOC-4.2</v>
      </c>
      <c r="F37" s="482" t="s">
        <v>946</v>
      </c>
      <c r="G37" s="483" t="s">
        <v>323</v>
      </c>
      <c r="H37" s="447" t="s">
        <v>588</v>
      </c>
      <c r="I37" s="448" t="s">
        <v>363</v>
      </c>
      <c r="J37" s="497" t="s">
        <v>281</v>
      </c>
      <c r="K37" s="449"/>
      <c r="L37" s="450"/>
      <c r="M37" s="485" t="s">
        <v>621</v>
      </c>
      <c r="N37" s="485"/>
      <c r="O37" s="485"/>
      <c r="P37" s="453" t="s">
        <v>902</v>
      </c>
      <c r="Q37" s="498">
        <v>45962.0</v>
      </c>
      <c r="R37" s="498">
        <v>46113.0</v>
      </c>
      <c r="S37" s="498">
        <v>46204.0</v>
      </c>
    </row>
    <row r="38" ht="31.5" customHeight="1" outlineLevel="1">
      <c r="A38" s="486"/>
      <c r="B38" s="486"/>
      <c r="C38" s="486"/>
      <c r="D38" s="486"/>
      <c r="E38" s="486"/>
      <c r="F38" s="487"/>
      <c r="G38" s="488"/>
      <c r="H38" s="494"/>
      <c r="I38" s="501"/>
      <c r="J38" s="501"/>
      <c r="K38" s="492"/>
      <c r="L38" s="493"/>
      <c r="M38" s="494"/>
      <c r="N38" s="494"/>
      <c r="O38" s="494"/>
      <c r="P38" s="494"/>
      <c r="Q38" s="494"/>
      <c r="R38" s="494"/>
      <c r="S38" s="494"/>
    </row>
    <row r="39" ht="31.5" customHeight="1">
      <c r="A39" s="445" t="s">
        <v>947</v>
      </c>
      <c r="B39" s="445" t="s">
        <v>948</v>
      </c>
      <c r="C39" s="445" t="s">
        <v>900</v>
      </c>
      <c r="D39" s="445" t="s">
        <v>900</v>
      </c>
      <c r="E39" s="445" t="str">
        <f t="shared" ref="E39:E41" si="4">"CA-" &amp; B39 &amp; "-" &amp; C39 &amp; "." &amp; D39</f>
        <v>CA-MAP-1.1</v>
      </c>
      <c r="F39" s="482" t="s">
        <v>631</v>
      </c>
      <c r="G39" s="483" t="s">
        <v>321</v>
      </c>
      <c r="H39" s="485" t="s">
        <v>281</v>
      </c>
      <c r="I39" s="502" t="s">
        <v>281</v>
      </c>
      <c r="J39" s="502" t="s">
        <v>281</v>
      </c>
      <c r="K39" s="449" t="s">
        <v>949</v>
      </c>
      <c r="L39" s="450"/>
      <c r="M39" s="485" t="s">
        <v>630</v>
      </c>
      <c r="N39" s="485"/>
      <c r="O39" s="485"/>
      <c r="P39" s="453" t="s">
        <v>902</v>
      </c>
      <c r="Q39" s="498">
        <v>45962.0</v>
      </c>
      <c r="R39" s="498">
        <v>46113.0</v>
      </c>
      <c r="S39" s="498">
        <v>46204.0</v>
      </c>
    </row>
    <row r="40" ht="31.5" customHeight="1" outlineLevel="1">
      <c r="A40" s="436"/>
      <c r="B40" s="436" t="s">
        <v>948</v>
      </c>
      <c r="C40" s="436" t="s">
        <v>905</v>
      </c>
      <c r="D40" s="436" t="s">
        <v>900</v>
      </c>
      <c r="E40" s="436" t="str">
        <f t="shared" si="4"/>
        <v>CA-MAP-2.1</v>
      </c>
      <c r="F40" s="478" t="s">
        <v>950</v>
      </c>
      <c r="G40" s="479" t="s">
        <v>321</v>
      </c>
      <c r="H40" s="481" t="s">
        <v>281</v>
      </c>
      <c r="I40" s="503" t="s">
        <v>281</v>
      </c>
      <c r="J40" s="503" t="s">
        <v>281</v>
      </c>
      <c r="K40" s="440"/>
      <c r="L40" s="441"/>
      <c r="M40" s="481" t="s">
        <v>634</v>
      </c>
      <c r="N40" s="481"/>
      <c r="O40" s="481"/>
      <c r="P40" s="444" t="s">
        <v>902</v>
      </c>
      <c r="Q40" s="500">
        <v>46113.0</v>
      </c>
      <c r="R40" s="500">
        <v>46204.0</v>
      </c>
      <c r="S40" s="500">
        <v>46296.0</v>
      </c>
    </row>
    <row r="41" ht="31.5" customHeight="1" outlineLevel="1">
      <c r="A41" s="445"/>
      <c r="B41" s="445" t="s">
        <v>948</v>
      </c>
      <c r="C41" s="445" t="s">
        <v>908</v>
      </c>
      <c r="D41" s="445" t="s">
        <v>900</v>
      </c>
      <c r="E41" s="445" t="str">
        <f t="shared" si="4"/>
        <v>CA-MAP-3.1</v>
      </c>
      <c r="F41" s="482" t="s">
        <v>951</v>
      </c>
      <c r="G41" s="483" t="s">
        <v>323</v>
      </c>
      <c r="H41" s="447" t="s">
        <v>588</v>
      </c>
      <c r="I41" s="448" t="s">
        <v>363</v>
      </c>
      <c r="J41" s="497" t="s">
        <v>281</v>
      </c>
      <c r="K41" s="449"/>
      <c r="L41" s="450"/>
      <c r="M41" s="485" t="s">
        <v>630</v>
      </c>
      <c r="N41" s="485"/>
      <c r="O41" s="485"/>
      <c r="P41" s="453" t="s">
        <v>902</v>
      </c>
      <c r="Q41" s="498">
        <v>45962.0</v>
      </c>
      <c r="R41" s="498">
        <v>45962.0</v>
      </c>
      <c r="S41" s="498">
        <v>46113.0</v>
      </c>
    </row>
    <row r="42" ht="31.5" customHeight="1" outlineLevel="1">
      <c r="A42" s="436"/>
      <c r="B42" s="436"/>
      <c r="C42" s="436"/>
      <c r="D42" s="436"/>
      <c r="E42" s="436"/>
      <c r="F42" s="478"/>
      <c r="G42" s="479"/>
      <c r="H42" s="481"/>
      <c r="I42" s="503"/>
      <c r="J42" s="503"/>
      <c r="K42" s="440"/>
      <c r="L42" s="441"/>
      <c r="M42" s="481"/>
      <c r="N42" s="481"/>
      <c r="O42" s="481"/>
      <c r="P42" s="481"/>
      <c r="Q42" s="481"/>
      <c r="R42" s="481"/>
      <c r="S42" s="481"/>
    </row>
    <row r="43" ht="31.5" customHeight="1" outlineLevel="1">
      <c r="A43" s="470"/>
      <c r="B43" s="470"/>
      <c r="C43" s="470"/>
      <c r="D43" s="470"/>
      <c r="E43" s="470"/>
      <c r="F43" s="471"/>
      <c r="G43" s="472"/>
      <c r="H43" s="477"/>
      <c r="I43" s="474"/>
      <c r="J43" s="474"/>
      <c r="K43" s="475"/>
      <c r="L43" s="476"/>
      <c r="M43" s="477"/>
      <c r="N43" s="477"/>
      <c r="O43" s="477"/>
      <c r="P43" s="477"/>
      <c r="Q43" s="477"/>
      <c r="R43" s="477"/>
      <c r="S43" s="477"/>
    </row>
    <row r="44" ht="31.5" customHeight="1">
      <c r="A44" s="436" t="s">
        <v>952</v>
      </c>
      <c r="B44" s="436" t="s">
        <v>953</v>
      </c>
      <c r="C44" s="436" t="s">
        <v>900</v>
      </c>
      <c r="D44" s="436" t="s">
        <v>900</v>
      </c>
      <c r="E44" s="436" t="str">
        <f t="shared" ref="E44:E49" si="5">"CA-" &amp; B44 &amp; "-" &amp; C44 &amp; "." &amp; D44</f>
        <v>CA-INF-1.1</v>
      </c>
      <c r="F44" s="478" t="s">
        <v>954</v>
      </c>
      <c r="G44" s="479" t="s">
        <v>323</v>
      </c>
      <c r="H44" s="504" t="s">
        <v>588</v>
      </c>
      <c r="I44" s="503" t="s">
        <v>363</v>
      </c>
      <c r="J44" s="503" t="s">
        <v>281</v>
      </c>
      <c r="K44" s="440"/>
      <c r="L44" s="441"/>
      <c r="M44" s="481" t="s">
        <v>955</v>
      </c>
      <c r="N44" s="481"/>
      <c r="O44" s="481"/>
      <c r="P44" s="444" t="s">
        <v>902</v>
      </c>
      <c r="Q44" s="500">
        <v>45962.0</v>
      </c>
      <c r="R44" s="500">
        <v>45962.0</v>
      </c>
      <c r="S44" s="500">
        <v>46023.0</v>
      </c>
    </row>
    <row r="45" ht="31.5" customHeight="1" outlineLevel="1">
      <c r="A45" s="445"/>
      <c r="B45" s="445" t="s">
        <v>953</v>
      </c>
      <c r="C45" s="445" t="s">
        <v>900</v>
      </c>
      <c r="D45" s="445" t="s">
        <v>905</v>
      </c>
      <c r="E45" s="445" t="str">
        <f t="shared" si="5"/>
        <v>CA-INF-1.2</v>
      </c>
      <c r="F45" s="482" t="s">
        <v>956</v>
      </c>
      <c r="G45" s="483" t="s">
        <v>323</v>
      </c>
      <c r="H45" s="505" t="s">
        <v>588</v>
      </c>
      <c r="I45" s="502" t="s">
        <v>363</v>
      </c>
      <c r="J45" s="502" t="s">
        <v>281</v>
      </c>
      <c r="K45" s="449"/>
      <c r="L45" s="450"/>
      <c r="M45" s="485" t="s">
        <v>957</v>
      </c>
      <c r="N45" s="485"/>
      <c r="O45" s="485"/>
      <c r="P45" s="498">
        <v>46023.0</v>
      </c>
      <c r="Q45" s="498">
        <v>46113.0</v>
      </c>
      <c r="R45" s="498">
        <v>46113.0</v>
      </c>
      <c r="S45" s="498">
        <v>46113.0</v>
      </c>
    </row>
    <row r="46" ht="31.5" customHeight="1" outlineLevel="1">
      <c r="A46" s="436"/>
      <c r="B46" s="436" t="s">
        <v>953</v>
      </c>
      <c r="C46" s="436" t="s">
        <v>905</v>
      </c>
      <c r="D46" s="436" t="s">
        <v>900</v>
      </c>
      <c r="E46" s="436" t="str">
        <f t="shared" si="5"/>
        <v>CA-INF-2.1</v>
      </c>
      <c r="F46" s="478" t="s">
        <v>958</v>
      </c>
      <c r="G46" s="479" t="s">
        <v>323</v>
      </c>
      <c r="H46" s="504" t="s">
        <v>588</v>
      </c>
      <c r="I46" s="503" t="s">
        <v>363</v>
      </c>
      <c r="J46" s="503" t="s">
        <v>281</v>
      </c>
      <c r="K46" s="440" t="s">
        <v>959</v>
      </c>
      <c r="L46" s="441"/>
      <c r="M46" s="481" t="s">
        <v>639</v>
      </c>
      <c r="N46" s="481"/>
      <c r="O46" s="481"/>
      <c r="P46" s="444" t="s">
        <v>902</v>
      </c>
      <c r="Q46" s="500">
        <v>45962.0</v>
      </c>
      <c r="R46" s="500">
        <v>45962.0</v>
      </c>
      <c r="S46" s="500">
        <v>46113.0</v>
      </c>
    </row>
    <row r="47" ht="31.5" customHeight="1" outlineLevel="1">
      <c r="A47" s="445"/>
      <c r="B47" s="445" t="s">
        <v>953</v>
      </c>
      <c r="C47" s="445" t="s">
        <v>905</v>
      </c>
      <c r="D47" s="445" t="s">
        <v>905</v>
      </c>
      <c r="E47" s="445" t="str">
        <f t="shared" si="5"/>
        <v>CA-INF-2.2</v>
      </c>
      <c r="F47" s="482" t="s">
        <v>960</v>
      </c>
      <c r="G47" s="483" t="s">
        <v>323</v>
      </c>
      <c r="H47" s="505" t="s">
        <v>588</v>
      </c>
      <c r="I47" s="502" t="s">
        <v>363</v>
      </c>
      <c r="J47" s="502" t="s">
        <v>281</v>
      </c>
      <c r="K47" s="449" t="s">
        <v>961</v>
      </c>
      <c r="L47" s="450"/>
      <c r="M47" s="485" t="s">
        <v>639</v>
      </c>
      <c r="N47" s="485"/>
      <c r="O47" s="485"/>
      <c r="P47" s="498">
        <v>46023.0</v>
      </c>
      <c r="Q47" s="498">
        <v>46113.0</v>
      </c>
      <c r="R47" s="498">
        <v>46204.0</v>
      </c>
      <c r="S47" s="498">
        <v>46296.0</v>
      </c>
    </row>
    <row r="48" ht="31.5" customHeight="1" outlineLevel="1">
      <c r="A48" s="436"/>
      <c r="B48" s="436" t="s">
        <v>953</v>
      </c>
      <c r="C48" s="436" t="s">
        <v>908</v>
      </c>
      <c r="D48" s="436" t="s">
        <v>900</v>
      </c>
      <c r="E48" s="436" t="str">
        <f t="shared" si="5"/>
        <v>CA-INF-3.1</v>
      </c>
      <c r="F48" s="478" t="s">
        <v>659</v>
      </c>
      <c r="G48" s="479" t="s">
        <v>323</v>
      </c>
      <c r="H48" s="504" t="s">
        <v>588</v>
      </c>
      <c r="I48" s="503" t="s">
        <v>363</v>
      </c>
      <c r="J48" s="503" t="s">
        <v>281</v>
      </c>
      <c r="K48" s="440" t="s">
        <v>962</v>
      </c>
      <c r="L48" s="441"/>
      <c r="M48" s="481" t="s">
        <v>658</v>
      </c>
      <c r="N48" s="481"/>
      <c r="O48" s="481"/>
      <c r="P48" s="444" t="s">
        <v>902</v>
      </c>
      <c r="Q48" s="500">
        <v>45962.0</v>
      </c>
      <c r="R48" s="500">
        <v>46113.0</v>
      </c>
      <c r="S48" s="500">
        <v>46204.0</v>
      </c>
    </row>
    <row r="49" ht="31.5" customHeight="1" outlineLevel="1">
      <c r="A49" s="445"/>
      <c r="B49" s="445" t="s">
        <v>953</v>
      </c>
      <c r="C49" s="445" t="s">
        <v>909</v>
      </c>
      <c r="D49" s="445" t="s">
        <v>900</v>
      </c>
      <c r="E49" s="445" t="str">
        <f t="shared" si="5"/>
        <v>CA-INF-4.1</v>
      </c>
      <c r="F49" s="138" t="s">
        <v>963</v>
      </c>
      <c r="G49" s="483" t="s">
        <v>323</v>
      </c>
      <c r="H49" s="505" t="s">
        <v>588</v>
      </c>
      <c r="I49" s="502" t="s">
        <v>363</v>
      </c>
      <c r="J49" s="502" t="s">
        <v>281</v>
      </c>
      <c r="K49" s="449" t="s">
        <v>964</v>
      </c>
      <c r="L49" s="450"/>
      <c r="M49" s="485" t="s">
        <v>642</v>
      </c>
      <c r="N49" s="485"/>
      <c r="O49" s="485"/>
      <c r="P49" s="498">
        <v>46113.0</v>
      </c>
      <c r="Q49" s="498">
        <v>46204.0</v>
      </c>
      <c r="R49" s="498">
        <v>46296.0</v>
      </c>
      <c r="S49" s="498">
        <v>46388.0</v>
      </c>
    </row>
    <row r="50" ht="31.5" customHeight="1" outlineLevel="1">
      <c r="A50" s="486"/>
      <c r="B50" s="486"/>
      <c r="C50" s="486"/>
      <c r="D50" s="486"/>
      <c r="E50" s="486"/>
      <c r="F50" s="487"/>
      <c r="G50" s="488"/>
      <c r="H50" s="494"/>
      <c r="I50" s="501"/>
      <c r="J50" s="501"/>
      <c r="K50" s="492"/>
      <c r="L50" s="493"/>
      <c r="M50" s="494"/>
      <c r="N50" s="494"/>
      <c r="O50" s="494"/>
      <c r="P50" s="494"/>
      <c r="Q50" s="494"/>
      <c r="R50" s="494"/>
      <c r="S50" s="494"/>
    </row>
    <row r="51" ht="31.5" customHeight="1">
      <c r="A51" s="445" t="s">
        <v>965</v>
      </c>
      <c r="B51" s="445" t="s">
        <v>966</v>
      </c>
      <c r="C51" s="445" t="s">
        <v>900</v>
      </c>
      <c r="D51" s="445" t="s">
        <v>900</v>
      </c>
      <c r="E51" s="445" t="str">
        <f t="shared" ref="E51:E52" si="6">"CA-" &amp; B51 &amp; "-" &amp; C51 &amp; "." &amp; D51</f>
        <v>CA-STA-1.1</v>
      </c>
      <c r="F51" s="482" t="s">
        <v>651</v>
      </c>
      <c r="G51" s="483" t="s">
        <v>323</v>
      </c>
      <c r="H51" s="505" t="s">
        <v>588</v>
      </c>
      <c r="I51" s="502" t="s">
        <v>363</v>
      </c>
      <c r="J51" s="502" t="s">
        <v>281</v>
      </c>
      <c r="K51" s="449" t="s">
        <v>967</v>
      </c>
      <c r="L51" s="450"/>
      <c r="M51" s="485" t="s">
        <v>650</v>
      </c>
      <c r="N51" s="485"/>
      <c r="O51" s="485"/>
      <c r="P51" s="453" t="s">
        <v>902</v>
      </c>
      <c r="Q51" s="498">
        <v>45962.0</v>
      </c>
      <c r="R51" s="498">
        <v>45962.0</v>
      </c>
      <c r="S51" s="498">
        <v>46113.0</v>
      </c>
    </row>
    <row r="52" ht="31.5" customHeight="1" outlineLevel="1">
      <c r="A52" s="436"/>
      <c r="B52" s="436" t="s">
        <v>966</v>
      </c>
      <c r="C52" s="436" t="s">
        <v>905</v>
      </c>
      <c r="D52" s="436" t="s">
        <v>900</v>
      </c>
      <c r="E52" s="436" t="str">
        <f t="shared" si="6"/>
        <v>CA-STA-2.1</v>
      </c>
      <c r="F52" s="151" t="s">
        <v>968</v>
      </c>
      <c r="G52" s="479" t="s">
        <v>323</v>
      </c>
      <c r="H52" s="504" t="s">
        <v>588</v>
      </c>
      <c r="I52" s="503" t="s">
        <v>363</v>
      </c>
      <c r="J52" s="503" t="s">
        <v>281</v>
      </c>
      <c r="K52" s="440" t="s">
        <v>969</v>
      </c>
      <c r="L52" s="441"/>
      <c r="M52" s="481" t="s">
        <v>654</v>
      </c>
      <c r="N52" s="481"/>
      <c r="O52" s="481"/>
      <c r="P52" s="500">
        <v>46023.0</v>
      </c>
      <c r="Q52" s="500">
        <v>46113.0</v>
      </c>
      <c r="R52" s="500">
        <v>46204.0</v>
      </c>
      <c r="S52" s="500">
        <v>46296.0</v>
      </c>
    </row>
    <row r="53" ht="31.5" customHeight="1" outlineLevel="1">
      <c r="A53" s="470"/>
      <c r="B53" s="470"/>
      <c r="C53" s="470"/>
      <c r="D53" s="470"/>
      <c r="E53" s="470"/>
      <c r="F53" s="471"/>
      <c r="G53" s="472"/>
      <c r="H53" s="477"/>
      <c r="I53" s="474"/>
      <c r="J53" s="474"/>
      <c r="K53" s="475"/>
      <c r="L53" s="476"/>
      <c r="M53" s="477"/>
      <c r="N53" s="477"/>
      <c r="O53" s="477"/>
      <c r="P53" s="477"/>
      <c r="Q53" s="477"/>
      <c r="R53" s="477"/>
      <c r="S53" s="477"/>
    </row>
    <row r="54" ht="31.5" customHeight="1">
      <c r="A54" s="436" t="s">
        <v>381</v>
      </c>
      <c r="B54" s="436" t="s">
        <v>970</v>
      </c>
      <c r="C54" s="436" t="s">
        <v>900</v>
      </c>
      <c r="D54" s="436" t="s">
        <v>900</v>
      </c>
      <c r="E54" s="436" t="str">
        <f t="shared" ref="E54:E58" si="7">"CA-" &amp; B54 &amp; "-" &amp; C54 &amp; "." &amp; D54</f>
        <v>CA-CGO-1.1</v>
      </c>
      <c r="F54" s="478" t="s">
        <v>971</v>
      </c>
      <c r="G54" s="479" t="s">
        <v>323</v>
      </c>
      <c r="H54" s="504" t="s">
        <v>588</v>
      </c>
      <c r="I54" s="503" t="s">
        <v>363</v>
      </c>
      <c r="J54" s="439" t="s">
        <v>628</v>
      </c>
      <c r="K54" s="440"/>
      <c r="L54" s="441"/>
      <c r="M54" s="481" t="s">
        <v>686</v>
      </c>
      <c r="N54" s="481"/>
      <c r="O54" s="481"/>
      <c r="P54" s="500">
        <v>45901.0</v>
      </c>
      <c r="Q54" s="500">
        <v>45962.0</v>
      </c>
      <c r="R54" s="500">
        <v>45962.0</v>
      </c>
      <c r="S54" s="500">
        <v>46204.0</v>
      </c>
    </row>
    <row r="55" ht="31.5" customHeight="1" outlineLevel="1">
      <c r="A55" s="445"/>
      <c r="B55" s="445" t="s">
        <v>970</v>
      </c>
      <c r="C55" s="445" t="s">
        <v>900</v>
      </c>
      <c r="D55" s="445" t="s">
        <v>905</v>
      </c>
      <c r="E55" s="445" t="str">
        <f t="shared" si="7"/>
        <v>CA-CGO-1.2</v>
      </c>
      <c r="F55" s="482" t="s">
        <v>972</v>
      </c>
      <c r="G55" s="483" t="s">
        <v>323</v>
      </c>
      <c r="H55" s="505" t="s">
        <v>588</v>
      </c>
      <c r="I55" s="502" t="s">
        <v>363</v>
      </c>
      <c r="J55" s="448" t="s">
        <v>628</v>
      </c>
      <c r="K55" s="449"/>
      <c r="L55" s="450"/>
      <c r="M55" s="485" t="s">
        <v>706</v>
      </c>
      <c r="N55" s="485"/>
      <c r="O55" s="485"/>
      <c r="P55" s="498">
        <v>45901.0</v>
      </c>
      <c r="Q55" s="498">
        <v>46023.0</v>
      </c>
      <c r="R55" s="498">
        <v>46204.0</v>
      </c>
      <c r="S55" s="498">
        <v>46296.0</v>
      </c>
    </row>
    <row r="56" ht="31.5" customHeight="1" outlineLevel="1">
      <c r="A56" s="436"/>
      <c r="B56" s="436" t="s">
        <v>970</v>
      </c>
      <c r="C56" s="436" t="s">
        <v>900</v>
      </c>
      <c r="D56" s="436" t="s">
        <v>908</v>
      </c>
      <c r="E56" s="436" t="str">
        <f t="shared" si="7"/>
        <v>CA-CGO-1.3</v>
      </c>
      <c r="F56" s="478" t="s">
        <v>973</v>
      </c>
      <c r="G56" s="479" t="s">
        <v>323</v>
      </c>
      <c r="H56" s="504" t="s">
        <v>588</v>
      </c>
      <c r="I56" s="503" t="s">
        <v>363</v>
      </c>
      <c r="J56" s="456" t="s">
        <v>628</v>
      </c>
      <c r="K56" s="440" t="s">
        <v>974</v>
      </c>
      <c r="L56" s="441"/>
      <c r="M56" s="481" t="s">
        <v>975</v>
      </c>
      <c r="N56" s="481"/>
      <c r="O56" s="481"/>
      <c r="P56" s="500">
        <v>45901.0</v>
      </c>
      <c r="Q56" s="500">
        <v>45962.0</v>
      </c>
      <c r="R56" s="500">
        <v>45962.0</v>
      </c>
      <c r="S56" s="500">
        <v>45962.0</v>
      </c>
    </row>
    <row r="57" ht="31.5" customHeight="1" outlineLevel="1">
      <c r="A57" s="445"/>
      <c r="B57" s="445" t="s">
        <v>970</v>
      </c>
      <c r="C57" s="445" t="s">
        <v>905</v>
      </c>
      <c r="D57" s="445" t="s">
        <v>900</v>
      </c>
      <c r="E57" s="445" t="str">
        <f t="shared" si="7"/>
        <v>CA-CGO-2.1</v>
      </c>
      <c r="F57" s="482" t="s">
        <v>976</v>
      </c>
      <c r="G57" s="483" t="s">
        <v>323</v>
      </c>
      <c r="H57" s="505" t="s">
        <v>588</v>
      </c>
      <c r="I57" s="502" t="s">
        <v>363</v>
      </c>
      <c r="J57" s="448" t="s">
        <v>628</v>
      </c>
      <c r="K57" s="449"/>
      <c r="L57" s="450"/>
      <c r="M57" s="485" t="s">
        <v>699</v>
      </c>
      <c r="N57" s="485"/>
      <c r="O57" s="485"/>
      <c r="P57" s="498">
        <v>46023.0</v>
      </c>
      <c r="Q57" s="498">
        <v>45962.0</v>
      </c>
      <c r="R57" s="498">
        <v>46023.0</v>
      </c>
      <c r="S57" s="498">
        <v>46296.0</v>
      </c>
    </row>
    <row r="58" ht="31.5" customHeight="1" outlineLevel="1">
      <c r="A58" s="436"/>
      <c r="B58" s="436" t="s">
        <v>970</v>
      </c>
      <c r="C58" s="436" t="s">
        <v>908</v>
      </c>
      <c r="D58" s="436" t="s">
        <v>900</v>
      </c>
      <c r="E58" s="436" t="str">
        <f t="shared" si="7"/>
        <v>CA-CGO-3.1</v>
      </c>
      <c r="F58" s="478" t="s">
        <v>977</v>
      </c>
      <c r="G58" s="479" t="s">
        <v>323</v>
      </c>
      <c r="H58" s="504" t="s">
        <v>588</v>
      </c>
      <c r="I58" s="503" t="s">
        <v>363</v>
      </c>
      <c r="J58" s="456" t="s">
        <v>628</v>
      </c>
      <c r="K58" s="440"/>
      <c r="L58" s="441"/>
      <c r="M58" s="481" t="s">
        <v>706</v>
      </c>
      <c r="N58" s="481"/>
      <c r="O58" s="481"/>
      <c r="P58" s="500">
        <v>46023.0</v>
      </c>
      <c r="Q58" s="500">
        <v>46023.0</v>
      </c>
      <c r="R58" s="500">
        <v>46113.0</v>
      </c>
      <c r="S58" s="500">
        <v>46113.0</v>
      </c>
    </row>
    <row r="59" ht="31.5" customHeight="1" outlineLevel="1">
      <c r="A59" s="445"/>
      <c r="B59" s="445"/>
      <c r="C59" s="445"/>
      <c r="D59" s="445"/>
      <c r="E59" s="445"/>
      <c r="F59" s="482"/>
      <c r="G59" s="483"/>
      <c r="H59" s="505"/>
      <c r="I59" s="502"/>
      <c r="J59" s="448"/>
      <c r="K59" s="449"/>
      <c r="L59" s="450"/>
      <c r="M59" s="485"/>
      <c r="N59" s="485"/>
      <c r="O59" s="485"/>
      <c r="P59" s="485"/>
      <c r="Q59" s="485"/>
      <c r="R59" s="485"/>
      <c r="S59" s="485"/>
    </row>
    <row r="60" ht="31.5" customHeight="1" outlineLevel="1">
      <c r="A60" s="486"/>
      <c r="B60" s="486"/>
      <c r="C60" s="486"/>
      <c r="D60" s="486"/>
      <c r="E60" s="486"/>
      <c r="F60" s="487"/>
      <c r="G60" s="488"/>
      <c r="H60" s="494"/>
      <c r="I60" s="501"/>
      <c r="J60" s="501"/>
      <c r="K60" s="492"/>
      <c r="L60" s="493"/>
      <c r="M60" s="494"/>
      <c r="N60" s="494"/>
      <c r="O60" s="494"/>
      <c r="P60" s="494"/>
      <c r="Q60" s="494"/>
      <c r="R60" s="494"/>
      <c r="S60" s="494"/>
    </row>
    <row r="61" ht="40.5" customHeight="1">
      <c r="A61" s="445" t="s">
        <v>888</v>
      </c>
      <c r="B61" s="445" t="s">
        <v>978</v>
      </c>
      <c r="C61" s="445" t="s">
        <v>900</v>
      </c>
      <c r="D61" s="445" t="s">
        <v>900</v>
      </c>
      <c r="E61" s="445" t="str">
        <f t="shared" ref="E61:E63" si="8">"CA-" &amp; B61 &amp; "-" &amp; C61 &amp; "." &amp; D61</f>
        <v>CA-VEH-1.1</v>
      </c>
      <c r="F61" s="482" t="s">
        <v>979</v>
      </c>
      <c r="G61" s="483" t="s">
        <v>323</v>
      </c>
      <c r="H61" s="505" t="s">
        <v>588</v>
      </c>
      <c r="I61" s="502" t="s">
        <v>363</v>
      </c>
      <c r="J61" s="496" t="s">
        <v>628</v>
      </c>
      <c r="K61" s="449"/>
      <c r="L61" s="450"/>
      <c r="M61" s="485" t="s">
        <v>980</v>
      </c>
      <c r="N61" s="485"/>
      <c r="O61" s="485"/>
      <c r="P61" s="498">
        <v>46023.0</v>
      </c>
      <c r="Q61" s="498">
        <v>46113.0</v>
      </c>
      <c r="R61" s="498">
        <v>46204.0</v>
      </c>
      <c r="S61" s="498">
        <v>46296.0</v>
      </c>
    </row>
    <row r="62" ht="31.5" customHeight="1" outlineLevel="1">
      <c r="A62" s="436"/>
      <c r="B62" s="436" t="s">
        <v>978</v>
      </c>
      <c r="C62" s="436" t="s">
        <v>900</v>
      </c>
      <c r="D62" s="436" t="s">
        <v>905</v>
      </c>
      <c r="E62" s="436" t="str">
        <f t="shared" si="8"/>
        <v>CA-VEH-1.2</v>
      </c>
      <c r="F62" s="478" t="s">
        <v>981</v>
      </c>
      <c r="G62" s="479" t="s">
        <v>323</v>
      </c>
      <c r="H62" s="504" t="s">
        <v>588</v>
      </c>
      <c r="I62" s="503" t="s">
        <v>363</v>
      </c>
      <c r="J62" s="456" t="s">
        <v>628</v>
      </c>
      <c r="K62" s="440"/>
      <c r="L62" s="441"/>
      <c r="M62" s="481" t="s">
        <v>975</v>
      </c>
      <c r="N62" s="481"/>
      <c r="O62" s="481"/>
      <c r="P62" s="500">
        <v>46023.0</v>
      </c>
      <c r="Q62" s="500">
        <v>46113.0</v>
      </c>
      <c r="R62" s="500">
        <v>46113.0</v>
      </c>
      <c r="S62" s="500">
        <v>46113.0</v>
      </c>
    </row>
    <row r="63" ht="31.5" customHeight="1" outlineLevel="1">
      <c r="A63" s="445"/>
      <c r="B63" s="445" t="s">
        <v>978</v>
      </c>
      <c r="C63" s="445" t="s">
        <v>905</v>
      </c>
      <c r="D63" s="445" t="s">
        <v>900</v>
      </c>
      <c r="E63" s="445" t="str">
        <f t="shared" si="8"/>
        <v>CA-VEH-2.1</v>
      </c>
      <c r="F63" s="482" t="s">
        <v>982</v>
      </c>
      <c r="G63" s="483" t="s">
        <v>323</v>
      </c>
      <c r="H63" s="505" t="s">
        <v>588</v>
      </c>
      <c r="I63" s="502" t="s">
        <v>281</v>
      </c>
      <c r="J63" s="448" t="s">
        <v>281</v>
      </c>
      <c r="K63" s="449" t="s">
        <v>983</v>
      </c>
      <c r="L63" s="450"/>
      <c r="M63" s="485" t="s">
        <v>823</v>
      </c>
      <c r="N63" s="485"/>
      <c r="O63" s="485"/>
      <c r="P63" s="498">
        <v>46023.0</v>
      </c>
      <c r="Q63" s="498">
        <v>46113.0</v>
      </c>
      <c r="R63" s="498">
        <v>46204.0</v>
      </c>
      <c r="S63" s="498">
        <v>46296.0</v>
      </c>
    </row>
    <row r="64" ht="31.5" customHeight="1" outlineLevel="1">
      <c r="A64" s="436"/>
      <c r="B64" s="436"/>
      <c r="C64" s="436"/>
      <c r="D64" s="436"/>
      <c r="E64" s="436"/>
      <c r="F64" s="478"/>
      <c r="G64" s="479"/>
      <c r="H64" s="504"/>
      <c r="I64" s="503"/>
      <c r="J64" s="499"/>
      <c r="K64" s="440"/>
      <c r="L64" s="441"/>
      <c r="M64" s="481"/>
      <c r="N64" s="481"/>
      <c r="O64" s="481"/>
      <c r="P64" s="481"/>
      <c r="Q64" s="481"/>
      <c r="R64" s="481"/>
      <c r="S64" s="481"/>
    </row>
    <row r="65" ht="31.5" customHeight="1" outlineLevel="1">
      <c r="A65" s="470"/>
      <c r="B65" s="470"/>
      <c r="C65" s="470"/>
      <c r="D65" s="470"/>
      <c r="E65" s="470"/>
      <c r="F65" s="471"/>
      <c r="G65" s="472"/>
      <c r="H65" s="477"/>
      <c r="I65" s="474"/>
      <c r="J65" s="474"/>
      <c r="K65" s="475"/>
      <c r="L65" s="476"/>
      <c r="M65" s="477"/>
      <c r="N65" s="477"/>
      <c r="O65" s="477"/>
      <c r="P65" s="477"/>
      <c r="Q65" s="477"/>
      <c r="R65" s="477"/>
      <c r="S65" s="477"/>
    </row>
    <row r="66" ht="31.5" customHeight="1">
      <c r="A66" s="436" t="s">
        <v>253</v>
      </c>
      <c r="B66" s="436" t="s">
        <v>984</v>
      </c>
      <c r="C66" s="436" t="s">
        <v>900</v>
      </c>
      <c r="D66" s="436" t="s">
        <v>900</v>
      </c>
      <c r="E66" s="436" t="str">
        <f t="shared" ref="E66:E77" si="9">"CA-" &amp; B66 &amp; "-" &amp; C66 &amp; "." &amp; D66</f>
        <v>CA-SV-1.1</v>
      </c>
      <c r="F66" s="478" t="s">
        <v>985</v>
      </c>
      <c r="G66" s="479" t="s">
        <v>323</v>
      </c>
      <c r="H66" s="504" t="s">
        <v>588</v>
      </c>
      <c r="I66" s="503" t="s">
        <v>363</v>
      </c>
      <c r="J66" s="503" t="s">
        <v>281</v>
      </c>
      <c r="K66" s="440"/>
      <c r="L66" s="441"/>
      <c r="M66" s="481" t="s">
        <v>732</v>
      </c>
      <c r="N66" s="481"/>
      <c r="O66" s="481"/>
      <c r="P66" s="500">
        <v>45901.0</v>
      </c>
      <c r="Q66" s="500">
        <v>45962.0</v>
      </c>
      <c r="R66" s="500">
        <v>45962.0</v>
      </c>
      <c r="S66" s="500">
        <v>46023.0</v>
      </c>
    </row>
    <row r="67" ht="31.5" customHeight="1" outlineLevel="1">
      <c r="A67" s="445"/>
      <c r="B67" s="445" t="s">
        <v>984</v>
      </c>
      <c r="C67" s="445" t="s">
        <v>905</v>
      </c>
      <c r="D67" s="445" t="s">
        <v>900</v>
      </c>
      <c r="E67" s="445" t="str">
        <f t="shared" si="9"/>
        <v>CA-SV-2.1</v>
      </c>
      <c r="F67" s="482" t="s">
        <v>986</v>
      </c>
      <c r="G67" s="483" t="s">
        <v>323</v>
      </c>
      <c r="H67" s="485" t="s">
        <v>281</v>
      </c>
      <c r="I67" s="502" t="s">
        <v>281</v>
      </c>
      <c r="J67" s="502" t="s">
        <v>281</v>
      </c>
      <c r="K67" s="449"/>
      <c r="L67" s="450"/>
      <c r="M67" s="485" t="s">
        <v>741</v>
      </c>
      <c r="N67" s="485"/>
      <c r="O67" s="485"/>
      <c r="P67" s="498">
        <v>45901.0</v>
      </c>
      <c r="Q67" s="498">
        <v>45962.0</v>
      </c>
      <c r="R67" s="498">
        <v>45962.0</v>
      </c>
      <c r="S67" s="498">
        <v>46113.0</v>
      </c>
    </row>
    <row r="68" ht="31.5" customHeight="1" outlineLevel="1">
      <c r="A68" s="436"/>
      <c r="B68" s="436" t="s">
        <v>984</v>
      </c>
      <c r="C68" s="436" t="s">
        <v>905</v>
      </c>
      <c r="D68" s="436" t="s">
        <v>905</v>
      </c>
      <c r="E68" s="436" t="str">
        <f t="shared" si="9"/>
        <v>CA-SV-2.2</v>
      </c>
      <c r="F68" s="478" t="s">
        <v>987</v>
      </c>
      <c r="G68" s="479" t="s">
        <v>323</v>
      </c>
      <c r="H68" s="481" t="s">
        <v>281</v>
      </c>
      <c r="I68" s="503" t="s">
        <v>281</v>
      </c>
      <c r="J68" s="503" t="s">
        <v>281</v>
      </c>
      <c r="K68" s="440"/>
      <c r="L68" s="441"/>
      <c r="M68" s="481" t="s">
        <v>735</v>
      </c>
      <c r="N68" s="481"/>
      <c r="O68" s="481"/>
      <c r="P68" s="500">
        <v>45901.0</v>
      </c>
      <c r="Q68" s="500">
        <v>45962.0</v>
      </c>
      <c r="R68" s="500">
        <v>45962.0</v>
      </c>
      <c r="S68" s="500">
        <v>46113.0</v>
      </c>
    </row>
    <row r="69" ht="31.5" customHeight="1" outlineLevel="1">
      <c r="A69" s="445"/>
      <c r="B69" s="445" t="s">
        <v>984</v>
      </c>
      <c r="C69" s="445" t="s">
        <v>905</v>
      </c>
      <c r="D69" s="445" t="s">
        <v>908</v>
      </c>
      <c r="E69" s="445" t="str">
        <f t="shared" si="9"/>
        <v>CA-SV-2.3</v>
      </c>
      <c r="F69" s="482" t="s">
        <v>988</v>
      </c>
      <c r="G69" s="483" t="s">
        <v>323</v>
      </c>
      <c r="H69" s="485" t="s">
        <v>281</v>
      </c>
      <c r="I69" s="502" t="s">
        <v>281</v>
      </c>
      <c r="J69" s="502" t="s">
        <v>281</v>
      </c>
      <c r="K69" s="449"/>
      <c r="L69" s="450"/>
      <c r="M69" s="485" t="s">
        <v>989</v>
      </c>
      <c r="N69" s="485"/>
      <c r="O69" s="485"/>
      <c r="P69" s="498">
        <v>45901.0</v>
      </c>
      <c r="Q69" s="498">
        <v>45962.0</v>
      </c>
      <c r="R69" s="498">
        <v>45962.0</v>
      </c>
      <c r="S69" s="498">
        <v>46113.0</v>
      </c>
    </row>
    <row r="70" ht="31.5" customHeight="1" outlineLevel="1">
      <c r="A70" s="436"/>
      <c r="B70" s="436" t="s">
        <v>984</v>
      </c>
      <c r="C70" s="436" t="s">
        <v>905</v>
      </c>
      <c r="D70" s="436" t="s">
        <v>909</v>
      </c>
      <c r="E70" s="436" t="str">
        <f t="shared" si="9"/>
        <v>CA-SV-2.4</v>
      </c>
      <c r="F70" s="478" t="s">
        <v>990</v>
      </c>
      <c r="G70" s="479" t="s">
        <v>323</v>
      </c>
      <c r="H70" s="481" t="s">
        <v>281</v>
      </c>
      <c r="I70" s="503" t="s">
        <v>281</v>
      </c>
      <c r="J70" s="503" t="s">
        <v>281</v>
      </c>
      <c r="K70" s="440"/>
      <c r="L70" s="441"/>
      <c r="M70" s="481" t="s">
        <v>741</v>
      </c>
      <c r="N70" s="481"/>
      <c r="O70" s="481"/>
      <c r="P70" s="500">
        <v>45901.0</v>
      </c>
      <c r="Q70" s="500">
        <v>45962.0</v>
      </c>
      <c r="R70" s="500">
        <v>45962.0</v>
      </c>
      <c r="S70" s="500">
        <v>46113.0</v>
      </c>
    </row>
    <row r="71" ht="31.5" customHeight="1" outlineLevel="1">
      <c r="A71" s="445"/>
      <c r="B71" s="445" t="s">
        <v>984</v>
      </c>
      <c r="C71" s="445" t="s">
        <v>905</v>
      </c>
      <c r="D71" s="445" t="s">
        <v>911</v>
      </c>
      <c r="E71" s="445" t="str">
        <f t="shared" si="9"/>
        <v>CA-SV-2.5</v>
      </c>
      <c r="F71" s="482" t="s">
        <v>991</v>
      </c>
      <c r="G71" s="483" t="s">
        <v>323</v>
      </c>
      <c r="H71" s="485" t="s">
        <v>281</v>
      </c>
      <c r="I71" s="502" t="s">
        <v>281</v>
      </c>
      <c r="J71" s="502" t="s">
        <v>281</v>
      </c>
      <c r="K71" s="449"/>
      <c r="L71" s="450"/>
      <c r="M71" s="485" t="s">
        <v>856</v>
      </c>
      <c r="N71" s="485"/>
      <c r="O71" s="485"/>
      <c r="P71" s="498">
        <v>45901.0</v>
      </c>
      <c r="Q71" s="498">
        <v>45962.0</v>
      </c>
      <c r="R71" s="498">
        <v>45962.0</v>
      </c>
      <c r="S71" s="498">
        <v>46113.0</v>
      </c>
    </row>
    <row r="72" outlineLevel="1">
      <c r="A72" s="436"/>
      <c r="B72" s="436" t="s">
        <v>984</v>
      </c>
      <c r="C72" s="436" t="s">
        <v>908</v>
      </c>
      <c r="D72" s="436" t="s">
        <v>900</v>
      </c>
      <c r="E72" s="436" t="str">
        <f t="shared" si="9"/>
        <v>CA-SV-3.1</v>
      </c>
      <c r="F72" s="478" t="s">
        <v>992</v>
      </c>
      <c r="G72" s="479" t="s">
        <v>323</v>
      </c>
      <c r="H72" s="481" t="s">
        <v>281</v>
      </c>
      <c r="I72" s="503" t="s">
        <v>281</v>
      </c>
      <c r="J72" s="503" t="s">
        <v>281</v>
      </c>
      <c r="K72" s="440" t="s">
        <v>983</v>
      </c>
      <c r="L72" s="441"/>
      <c r="M72" s="481" t="s">
        <v>741</v>
      </c>
      <c r="N72" s="481"/>
      <c r="O72" s="481"/>
      <c r="P72" s="500">
        <v>46113.0</v>
      </c>
      <c r="Q72" s="500">
        <v>46204.0</v>
      </c>
      <c r="R72" s="500">
        <v>46296.0</v>
      </c>
      <c r="S72" s="500">
        <v>46388.0</v>
      </c>
    </row>
    <row r="73" outlineLevel="1">
      <c r="A73" s="445"/>
      <c r="B73" s="445" t="s">
        <v>984</v>
      </c>
      <c r="C73" s="445" t="s">
        <v>909</v>
      </c>
      <c r="D73" s="445" t="s">
        <v>900</v>
      </c>
      <c r="E73" s="445" t="str">
        <f t="shared" si="9"/>
        <v>CA-SV-4.1</v>
      </c>
      <c r="F73" s="482" t="s">
        <v>993</v>
      </c>
      <c r="G73" s="483" t="s">
        <v>323</v>
      </c>
      <c r="H73" s="485" t="s">
        <v>281</v>
      </c>
      <c r="I73" s="502" t="s">
        <v>281</v>
      </c>
      <c r="J73" s="502" t="s">
        <v>281</v>
      </c>
      <c r="K73" s="449" t="s">
        <v>983</v>
      </c>
      <c r="L73" s="450"/>
      <c r="M73" s="485" t="s">
        <v>741</v>
      </c>
      <c r="N73" s="485"/>
      <c r="O73" s="485"/>
      <c r="P73" s="498">
        <v>46113.0</v>
      </c>
      <c r="Q73" s="498">
        <v>46204.0</v>
      </c>
      <c r="R73" s="498">
        <v>46296.0</v>
      </c>
      <c r="S73" s="498">
        <v>46388.0</v>
      </c>
    </row>
    <row r="74" outlineLevel="1">
      <c r="A74" s="436"/>
      <c r="B74" s="436" t="s">
        <v>984</v>
      </c>
      <c r="C74" s="436" t="s">
        <v>911</v>
      </c>
      <c r="D74" s="436" t="s">
        <v>900</v>
      </c>
      <c r="E74" s="436" t="str">
        <f t="shared" si="9"/>
        <v>CA-SV-5.1</v>
      </c>
      <c r="F74" s="478" t="s">
        <v>994</v>
      </c>
      <c r="G74" s="479" t="s">
        <v>323</v>
      </c>
      <c r="H74" s="504" t="s">
        <v>588</v>
      </c>
      <c r="I74" s="503" t="s">
        <v>363</v>
      </c>
      <c r="J74" s="503" t="s">
        <v>281</v>
      </c>
      <c r="K74" s="440"/>
      <c r="L74" s="441"/>
      <c r="M74" s="481" t="s">
        <v>738</v>
      </c>
      <c r="N74" s="481"/>
      <c r="O74" s="481"/>
      <c r="P74" s="500">
        <v>45901.0</v>
      </c>
      <c r="Q74" s="500">
        <v>45962.0</v>
      </c>
      <c r="R74" s="500">
        <v>46113.0</v>
      </c>
      <c r="S74" s="500">
        <v>46204.0</v>
      </c>
    </row>
    <row r="75" outlineLevel="1">
      <c r="A75" s="445"/>
      <c r="B75" s="445" t="s">
        <v>984</v>
      </c>
      <c r="C75" s="445" t="s">
        <v>911</v>
      </c>
      <c r="D75" s="445" t="s">
        <v>905</v>
      </c>
      <c r="E75" s="445" t="str">
        <f t="shared" si="9"/>
        <v>CA-SV-5.2</v>
      </c>
      <c r="F75" s="482" t="s">
        <v>995</v>
      </c>
      <c r="G75" s="483" t="s">
        <v>323</v>
      </c>
      <c r="H75" s="505" t="s">
        <v>588</v>
      </c>
      <c r="I75" s="502" t="s">
        <v>363</v>
      </c>
      <c r="J75" s="502" t="s">
        <v>281</v>
      </c>
      <c r="K75" s="449"/>
      <c r="L75" s="450"/>
      <c r="M75" s="485" t="s">
        <v>738</v>
      </c>
      <c r="N75" s="485"/>
      <c r="O75" s="485"/>
      <c r="P75" s="498">
        <v>45901.0</v>
      </c>
      <c r="Q75" s="498">
        <v>46113.0</v>
      </c>
      <c r="R75" s="498">
        <v>46204.0</v>
      </c>
      <c r="S75" s="498">
        <v>46296.0</v>
      </c>
    </row>
    <row r="76" ht="31.5" customHeight="1" outlineLevel="1">
      <c r="A76" s="436"/>
      <c r="B76" s="436" t="s">
        <v>984</v>
      </c>
      <c r="C76" s="436" t="s">
        <v>912</v>
      </c>
      <c r="D76" s="436" t="s">
        <v>900</v>
      </c>
      <c r="E76" s="436" t="str">
        <f t="shared" si="9"/>
        <v>CA-SV-6.1</v>
      </c>
      <c r="F76" s="478" t="s">
        <v>996</v>
      </c>
      <c r="G76" s="479" t="s">
        <v>323</v>
      </c>
      <c r="H76" s="481" t="s">
        <v>281</v>
      </c>
      <c r="I76" s="503" t="s">
        <v>281</v>
      </c>
      <c r="J76" s="503" t="s">
        <v>281</v>
      </c>
      <c r="K76" s="440" t="s">
        <v>997</v>
      </c>
      <c r="L76" s="441"/>
      <c r="M76" s="481" t="s">
        <v>741</v>
      </c>
      <c r="N76" s="481"/>
      <c r="O76" s="481"/>
      <c r="P76" s="500">
        <v>46113.0</v>
      </c>
      <c r="Q76" s="500">
        <v>46204.0</v>
      </c>
      <c r="R76" s="500">
        <v>46204.0</v>
      </c>
      <c r="S76" s="500">
        <v>46204.0</v>
      </c>
    </row>
    <row r="77" ht="31.5" customHeight="1" outlineLevel="1">
      <c r="A77" s="445"/>
      <c r="B77" s="445" t="s">
        <v>984</v>
      </c>
      <c r="C77" s="445" t="s">
        <v>915</v>
      </c>
      <c r="D77" s="445" t="s">
        <v>900</v>
      </c>
      <c r="E77" s="445" t="str">
        <f t="shared" si="9"/>
        <v>CA-SV-7.1</v>
      </c>
      <c r="F77" s="482" t="s">
        <v>998</v>
      </c>
      <c r="G77" s="483" t="s">
        <v>323</v>
      </c>
      <c r="H77" s="485" t="s">
        <v>281</v>
      </c>
      <c r="I77" s="502" t="s">
        <v>281</v>
      </c>
      <c r="J77" s="502" t="s">
        <v>281</v>
      </c>
      <c r="K77" s="449"/>
      <c r="L77" s="450"/>
      <c r="M77" s="485" t="s">
        <v>823</v>
      </c>
      <c r="N77" s="485"/>
      <c r="O77" s="485"/>
      <c r="P77" s="498">
        <v>46113.0</v>
      </c>
      <c r="Q77" s="498">
        <v>46204.0</v>
      </c>
      <c r="R77" s="498">
        <v>46204.0</v>
      </c>
      <c r="S77" s="498">
        <v>46204.0</v>
      </c>
    </row>
    <row r="78" ht="31.5" customHeight="1" outlineLevel="1">
      <c r="A78" s="436"/>
      <c r="B78" s="436"/>
      <c r="C78" s="436"/>
      <c r="D78" s="436"/>
      <c r="E78" s="436"/>
      <c r="F78" s="478"/>
      <c r="G78" s="479"/>
      <c r="H78" s="481"/>
      <c r="I78" s="503"/>
      <c r="J78" s="503"/>
      <c r="K78" s="440"/>
      <c r="L78" s="441"/>
      <c r="M78" s="481"/>
      <c r="N78" s="481"/>
      <c r="O78" s="481"/>
      <c r="P78" s="481"/>
      <c r="Q78" s="481"/>
      <c r="R78" s="481"/>
      <c r="S78" s="481"/>
    </row>
    <row r="79" ht="31.5" customHeight="1" outlineLevel="1">
      <c r="A79" s="470"/>
      <c r="B79" s="470"/>
      <c r="C79" s="470"/>
      <c r="D79" s="470"/>
      <c r="E79" s="470"/>
      <c r="F79" s="471"/>
      <c r="G79" s="472"/>
      <c r="H79" s="477"/>
      <c r="I79" s="474"/>
      <c r="J79" s="474"/>
      <c r="K79" s="475"/>
      <c r="L79" s="476"/>
      <c r="M79" s="477"/>
      <c r="N79" s="477"/>
      <c r="O79" s="477"/>
      <c r="P79" s="477"/>
      <c r="Q79" s="477"/>
      <c r="R79" s="477"/>
      <c r="S79" s="477"/>
    </row>
    <row r="80" ht="31.5" customHeight="1">
      <c r="A80" s="436" t="s">
        <v>999</v>
      </c>
      <c r="B80" s="436" t="s">
        <v>1000</v>
      </c>
      <c r="C80" s="436" t="s">
        <v>900</v>
      </c>
      <c r="D80" s="436" t="s">
        <v>900</v>
      </c>
      <c r="E80" s="436" t="str">
        <f t="shared" ref="E80:E82" si="10">"CA-" &amp; B80 &amp; "-" &amp; C80 &amp; "." &amp; D80</f>
        <v>CA-FWD-1.1</v>
      </c>
      <c r="F80" s="478" t="s">
        <v>1001</v>
      </c>
      <c r="G80" s="479" t="s">
        <v>323</v>
      </c>
      <c r="H80" s="504" t="s">
        <v>588</v>
      </c>
      <c r="I80" s="503" t="s">
        <v>363</v>
      </c>
      <c r="J80" s="439" t="s">
        <v>281</v>
      </c>
      <c r="K80" s="440"/>
      <c r="L80" s="441"/>
      <c r="M80" s="481" t="s">
        <v>755</v>
      </c>
      <c r="N80" s="481"/>
      <c r="O80" s="481"/>
      <c r="P80" s="500">
        <v>45901.0</v>
      </c>
      <c r="Q80" s="500">
        <v>45962.0</v>
      </c>
      <c r="R80" s="500">
        <v>45962.0</v>
      </c>
      <c r="S80" s="500">
        <v>45962.0</v>
      </c>
    </row>
    <row r="81" ht="31.5" customHeight="1" outlineLevel="1">
      <c r="A81" s="445"/>
      <c r="B81" s="445" t="s">
        <v>1000</v>
      </c>
      <c r="C81" s="445" t="s">
        <v>900</v>
      </c>
      <c r="D81" s="445" t="s">
        <v>905</v>
      </c>
      <c r="E81" s="445" t="str">
        <f t="shared" si="10"/>
        <v>CA-FWD-1.2</v>
      </c>
      <c r="F81" s="482" t="s">
        <v>1002</v>
      </c>
      <c r="G81" s="483" t="s">
        <v>323</v>
      </c>
      <c r="H81" s="505" t="s">
        <v>588</v>
      </c>
      <c r="I81" s="502" t="s">
        <v>363</v>
      </c>
      <c r="J81" s="448" t="s">
        <v>281</v>
      </c>
      <c r="K81" s="449" t="s">
        <v>1003</v>
      </c>
      <c r="L81" s="450"/>
      <c r="M81" s="485" t="s">
        <v>755</v>
      </c>
      <c r="N81" s="485"/>
      <c r="O81" s="485"/>
      <c r="P81" s="498">
        <v>45901.0</v>
      </c>
      <c r="Q81" s="498">
        <v>45962.0</v>
      </c>
      <c r="R81" s="498">
        <v>46023.0</v>
      </c>
      <c r="S81" s="498">
        <v>46113.0</v>
      </c>
    </row>
    <row r="82" ht="31.5" customHeight="1" outlineLevel="1">
      <c r="A82" s="436"/>
      <c r="B82" s="436" t="s">
        <v>1000</v>
      </c>
      <c r="C82" s="436" t="s">
        <v>900</v>
      </c>
      <c r="D82" s="436" t="s">
        <v>908</v>
      </c>
      <c r="E82" s="436" t="str">
        <f t="shared" si="10"/>
        <v>CA-FWD-1.3</v>
      </c>
      <c r="F82" s="478" t="s">
        <v>1004</v>
      </c>
      <c r="G82" s="479" t="s">
        <v>323</v>
      </c>
      <c r="H82" s="504" t="s">
        <v>588</v>
      </c>
      <c r="I82" s="503" t="s">
        <v>363</v>
      </c>
      <c r="J82" s="456" t="s">
        <v>281</v>
      </c>
      <c r="K82" s="440" t="s">
        <v>1005</v>
      </c>
      <c r="L82" s="441"/>
      <c r="M82" s="481" t="s">
        <v>755</v>
      </c>
      <c r="N82" s="481"/>
      <c r="O82" s="481"/>
      <c r="P82" s="500">
        <v>45901.0</v>
      </c>
      <c r="Q82" s="500">
        <v>45962.0</v>
      </c>
      <c r="R82" s="500">
        <v>46023.0</v>
      </c>
      <c r="S82" s="500">
        <v>46113.0</v>
      </c>
    </row>
    <row r="83" ht="31.5" customHeight="1" outlineLevel="1">
      <c r="A83" s="445"/>
      <c r="B83" s="445"/>
      <c r="C83" s="445"/>
      <c r="D83" s="445"/>
      <c r="E83" s="445" t="s">
        <v>1006</v>
      </c>
      <c r="F83" s="482" t="s">
        <v>1007</v>
      </c>
      <c r="G83" s="483" t="s">
        <v>323</v>
      </c>
      <c r="H83" s="505" t="s">
        <v>588</v>
      </c>
      <c r="I83" s="502" t="s">
        <v>363</v>
      </c>
      <c r="J83" s="448" t="s">
        <v>281</v>
      </c>
      <c r="K83" s="449"/>
      <c r="L83" s="450"/>
      <c r="M83" s="485"/>
      <c r="N83" s="485"/>
      <c r="O83" s="485"/>
      <c r="P83" s="498"/>
      <c r="Q83" s="498"/>
      <c r="R83" s="498"/>
      <c r="S83" s="498"/>
    </row>
    <row r="84" ht="31.5" customHeight="1" outlineLevel="1">
      <c r="A84" s="436"/>
      <c r="B84" s="436" t="s">
        <v>1000</v>
      </c>
      <c r="C84" s="436" t="s">
        <v>900</v>
      </c>
      <c r="D84" s="436" t="s">
        <v>909</v>
      </c>
      <c r="E84" s="436" t="str">
        <f t="shared" ref="E84:E94" si="11">"CA-" &amp; B84 &amp; "-" &amp; C84 &amp; "." &amp; D84</f>
        <v>CA-FWD-1.4</v>
      </c>
      <c r="F84" s="478" t="s">
        <v>1008</v>
      </c>
      <c r="G84" s="479" t="s">
        <v>323</v>
      </c>
      <c r="H84" s="504" t="s">
        <v>588</v>
      </c>
      <c r="I84" s="503" t="s">
        <v>363</v>
      </c>
      <c r="J84" s="456" t="s">
        <v>281</v>
      </c>
      <c r="K84" s="440"/>
      <c r="L84" s="441"/>
      <c r="M84" s="481" t="s">
        <v>758</v>
      </c>
      <c r="N84" s="481"/>
      <c r="O84" s="481"/>
      <c r="P84" s="500">
        <v>46113.0</v>
      </c>
      <c r="Q84" s="500">
        <v>46023.0</v>
      </c>
      <c r="R84" s="500">
        <v>46113.0</v>
      </c>
      <c r="S84" s="500">
        <v>46204.0</v>
      </c>
    </row>
    <row r="85" ht="31.5" customHeight="1" outlineLevel="1">
      <c r="A85" s="445"/>
      <c r="B85" s="445" t="s">
        <v>1000</v>
      </c>
      <c r="C85" s="445" t="s">
        <v>905</v>
      </c>
      <c r="D85" s="445" t="s">
        <v>900</v>
      </c>
      <c r="E85" s="445" t="str">
        <f t="shared" si="11"/>
        <v>CA-FWD-2.1</v>
      </c>
      <c r="F85" s="482" t="s">
        <v>1009</v>
      </c>
      <c r="G85" s="483" t="s">
        <v>323</v>
      </c>
      <c r="H85" s="505" t="s">
        <v>588</v>
      </c>
      <c r="I85" s="502" t="s">
        <v>363</v>
      </c>
      <c r="J85" s="448" t="s">
        <v>628</v>
      </c>
      <c r="K85" s="449"/>
      <c r="L85" s="450"/>
      <c r="M85" s="485" t="s">
        <v>761</v>
      </c>
      <c r="N85" s="485"/>
      <c r="O85" s="485"/>
      <c r="P85" s="498">
        <v>45901.0</v>
      </c>
      <c r="Q85" s="498">
        <v>45962.0</v>
      </c>
      <c r="R85" s="498">
        <v>46023.0</v>
      </c>
      <c r="S85" s="498">
        <v>46113.0</v>
      </c>
    </row>
    <row r="86" ht="31.5" customHeight="1" outlineLevel="1">
      <c r="A86" s="436"/>
      <c r="B86" s="436" t="s">
        <v>1000</v>
      </c>
      <c r="C86" s="436" t="s">
        <v>905</v>
      </c>
      <c r="D86" s="436" t="s">
        <v>905</v>
      </c>
      <c r="E86" s="436" t="str">
        <f t="shared" si="11"/>
        <v>CA-FWD-2.2</v>
      </c>
      <c r="F86" s="478" t="s">
        <v>1010</v>
      </c>
      <c r="G86" s="479" t="s">
        <v>323</v>
      </c>
      <c r="H86" s="504" t="s">
        <v>588</v>
      </c>
      <c r="I86" s="503" t="s">
        <v>363</v>
      </c>
      <c r="J86" s="456" t="s">
        <v>628</v>
      </c>
      <c r="K86" s="440"/>
      <c r="L86" s="441"/>
      <c r="M86" s="481" t="s">
        <v>761</v>
      </c>
      <c r="N86" s="481"/>
      <c r="O86" s="481"/>
      <c r="P86" s="500">
        <v>45901.0</v>
      </c>
      <c r="Q86" s="500">
        <v>46023.0</v>
      </c>
      <c r="R86" s="500">
        <v>46113.0</v>
      </c>
      <c r="S86" s="500">
        <v>46204.0</v>
      </c>
    </row>
    <row r="87" ht="31.5" customHeight="1" outlineLevel="1">
      <c r="A87" s="445"/>
      <c r="B87" s="445" t="s">
        <v>1000</v>
      </c>
      <c r="C87" s="445" t="s">
        <v>905</v>
      </c>
      <c r="D87" s="445" t="s">
        <v>909</v>
      </c>
      <c r="E87" s="445" t="str">
        <f t="shared" si="11"/>
        <v>CA-FWD-2.4</v>
      </c>
      <c r="F87" s="482" t="s">
        <v>1011</v>
      </c>
      <c r="G87" s="483" t="s">
        <v>323</v>
      </c>
      <c r="H87" s="505" t="s">
        <v>588</v>
      </c>
      <c r="I87" s="502" t="s">
        <v>363</v>
      </c>
      <c r="J87" s="448" t="s">
        <v>628</v>
      </c>
      <c r="K87" s="449"/>
      <c r="L87" s="450"/>
      <c r="M87" s="485" t="s">
        <v>764</v>
      </c>
      <c r="N87" s="485"/>
      <c r="O87" s="485"/>
      <c r="P87" s="498">
        <v>45901.0</v>
      </c>
      <c r="Q87" s="498">
        <v>46023.0</v>
      </c>
      <c r="R87" s="498">
        <v>46113.0</v>
      </c>
      <c r="S87" s="498">
        <v>46204.0</v>
      </c>
    </row>
    <row r="88" ht="31.5" customHeight="1" outlineLevel="1">
      <c r="A88" s="436"/>
      <c r="B88" s="436" t="s">
        <v>1000</v>
      </c>
      <c r="C88" s="436" t="s">
        <v>908</v>
      </c>
      <c r="D88" s="436" t="s">
        <v>900</v>
      </c>
      <c r="E88" s="436" t="str">
        <f t="shared" si="11"/>
        <v>CA-FWD-3.1</v>
      </c>
      <c r="F88" s="478" t="s">
        <v>1012</v>
      </c>
      <c r="G88" s="479" t="s">
        <v>323</v>
      </c>
      <c r="H88" s="504" t="s">
        <v>588</v>
      </c>
      <c r="I88" s="503" t="s">
        <v>363</v>
      </c>
      <c r="J88" s="456" t="s">
        <v>628</v>
      </c>
      <c r="K88" s="440" t="s">
        <v>1013</v>
      </c>
      <c r="L88" s="441"/>
      <c r="M88" s="481" t="s">
        <v>767</v>
      </c>
      <c r="N88" s="481"/>
      <c r="O88" s="481"/>
      <c r="P88" s="500">
        <v>45901.0</v>
      </c>
      <c r="Q88" s="500">
        <v>46023.0</v>
      </c>
      <c r="R88" s="500">
        <v>46113.0</v>
      </c>
      <c r="S88" s="500">
        <v>46204.0</v>
      </c>
    </row>
    <row r="89" ht="31.5" customHeight="1" outlineLevel="1">
      <c r="A89" s="445"/>
      <c r="B89" s="445" t="s">
        <v>1000</v>
      </c>
      <c r="C89" s="445" t="s">
        <v>908</v>
      </c>
      <c r="D89" s="445" t="s">
        <v>905</v>
      </c>
      <c r="E89" s="445" t="str">
        <f t="shared" si="11"/>
        <v>CA-FWD-3.2</v>
      </c>
      <c r="F89" s="482" t="s">
        <v>1014</v>
      </c>
      <c r="G89" s="483" t="s">
        <v>323</v>
      </c>
      <c r="H89" s="505" t="s">
        <v>588</v>
      </c>
      <c r="I89" s="502" t="s">
        <v>363</v>
      </c>
      <c r="J89" s="448" t="s">
        <v>628</v>
      </c>
      <c r="K89" s="449" t="s">
        <v>1015</v>
      </c>
      <c r="L89" s="450"/>
      <c r="M89" s="485" t="s">
        <v>767</v>
      </c>
      <c r="N89" s="485"/>
      <c r="O89" s="485"/>
      <c r="P89" s="498">
        <v>45901.0</v>
      </c>
      <c r="Q89" s="498">
        <v>46023.0</v>
      </c>
      <c r="R89" s="498">
        <v>46113.0</v>
      </c>
      <c r="S89" s="498">
        <v>46204.0</v>
      </c>
    </row>
    <row r="90" ht="31.5" customHeight="1" outlineLevel="1">
      <c r="A90" s="436"/>
      <c r="B90" s="436" t="s">
        <v>1000</v>
      </c>
      <c r="C90" s="436" t="s">
        <v>909</v>
      </c>
      <c r="D90" s="436" t="s">
        <v>900</v>
      </c>
      <c r="E90" s="436" t="str">
        <f t="shared" si="11"/>
        <v>CA-FWD-4.1</v>
      </c>
      <c r="F90" s="478" t="s">
        <v>1016</v>
      </c>
      <c r="G90" s="479" t="s">
        <v>323</v>
      </c>
      <c r="H90" s="504" t="s">
        <v>588</v>
      </c>
      <c r="I90" s="503" t="s">
        <v>363</v>
      </c>
      <c r="J90" s="456" t="s">
        <v>628</v>
      </c>
      <c r="K90" s="440"/>
      <c r="L90" s="441"/>
      <c r="M90" s="481" t="s">
        <v>774</v>
      </c>
      <c r="N90" s="481"/>
      <c r="O90" s="481"/>
      <c r="P90" s="500">
        <v>45901.0</v>
      </c>
      <c r="Q90" s="500">
        <v>46113.0</v>
      </c>
      <c r="R90" s="500">
        <v>46204.0</v>
      </c>
      <c r="S90" s="500">
        <v>46296.0</v>
      </c>
    </row>
    <row r="91" ht="31.5" customHeight="1" outlineLevel="1">
      <c r="A91" s="445"/>
      <c r="B91" s="445" t="s">
        <v>1000</v>
      </c>
      <c r="C91" s="445" t="s">
        <v>911</v>
      </c>
      <c r="D91" s="445" t="s">
        <v>900</v>
      </c>
      <c r="E91" s="445" t="str">
        <f t="shared" si="11"/>
        <v>CA-FWD-5.1</v>
      </c>
      <c r="F91" s="482" t="s">
        <v>1017</v>
      </c>
      <c r="G91" s="483" t="s">
        <v>323</v>
      </c>
      <c r="H91" s="505" t="s">
        <v>588</v>
      </c>
      <c r="I91" s="502" t="s">
        <v>363</v>
      </c>
      <c r="J91" s="448" t="s">
        <v>281</v>
      </c>
      <c r="K91" s="449"/>
      <c r="L91" s="450"/>
      <c r="M91" s="485" t="s">
        <v>777</v>
      </c>
      <c r="N91" s="485"/>
      <c r="O91" s="485"/>
      <c r="P91" s="498">
        <v>45901.0</v>
      </c>
      <c r="Q91" s="498">
        <v>46113.0</v>
      </c>
      <c r="R91" s="498">
        <v>46204.0</v>
      </c>
      <c r="S91" s="498">
        <v>46296.0</v>
      </c>
    </row>
    <row r="92" ht="31.5" customHeight="1" outlineLevel="1">
      <c r="A92" s="436"/>
      <c r="B92" s="436" t="s">
        <v>1000</v>
      </c>
      <c r="C92" s="436" t="s">
        <v>911</v>
      </c>
      <c r="D92" s="436" t="s">
        <v>900</v>
      </c>
      <c r="E92" s="436" t="str">
        <f t="shared" si="11"/>
        <v>CA-FWD-5.1</v>
      </c>
      <c r="F92" s="478" t="s">
        <v>1018</v>
      </c>
      <c r="G92" s="479" t="s">
        <v>323</v>
      </c>
      <c r="H92" s="504" t="s">
        <v>588</v>
      </c>
      <c r="I92" s="503" t="s">
        <v>363</v>
      </c>
      <c r="J92" s="456" t="s">
        <v>628</v>
      </c>
      <c r="K92" s="440"/>
      <c r="L92" s="441"/>
      <c r="M92" s="481" t="s">
        <v>780</v>
      </c>
      <c r="N92" s="481"/>
      <c r="O92" s="481"/>
      <c r="P92" s="500">
        <v>45901.0</v>
      </c>
      <c r="Q92" s="500">
        <v>46113.0</v>
      </c>
      <c r="R92" s="500">
        <v>46204.0</v>
      </c>
      <c r="S92" s="500">
        <v>46296.0</v>
      </c>
    </row>
    <row r="93" ht="31.5" customHeight="1" outlineLevel="1">
      <c r="A93" s="445"/>
      <c r="B93" s="445" t="s">
        <v>1000</v>
      </c>
      <c r="C93" s="445" t="s">
        <v>912</v>
      </c>
      <c r="D93" s="445" t="s">
        <v>900</v>
      </c>
      <c r="E93" s="445" t="str">
        <f t="shared" si="11"/>
        <v>CA-FWD-6.1</v>
      </c>
      <c r="F93" s="482" t="s">
        <v>1019</v>
      </c>
      <c r="G93" s="483" t="s">
        <v>323</v>
      </c>
      <c r="H93" s="505" t="s">
        <v>588</v>
      </c>
      <c r="I93" s="502" t="s">
        <v>363</v>
      </c>
      <c r="J93" s="448" t="s">
        <v>628</v>
      </c>
      <c r="K93" s="449"/>
      <c r="L93" s="450"/>
      <c r="M93" s="485" t="s">
        <v>783</v>
      </c>
      <c r="N93" s="485"/>
      <c r="O93" s="485"/>
      <c r="P93" s="498">
        <v>46023.0</v>
      </c>
      <c r="Q93" s="498">
        <v>46204.0</v>
      </c>
      <c r="R93" s="498">
        <v>46296.0</v>
      </c>
      <c r="S93" s="498">
        <v>46388.0</v>
      </c>
    </row>
    <row r="94" ht="31.5" customHeight="1" outlineLevel="1">
      <c r="A94" s="436"/>
      <c r="B94" s="436" t="s">
        <v>1000</v>
      </c>
      <c r="C94" s="436" t="s">
        <v>912</v>
      </c>
      <c r="D94" s="436" t="s">
        <v>905</v>
      </c>
      <c r="E94" s="436" t="str">
        <f t="shared" si="11"/>
        <v>CA-FWD-6.2</v>
      </c>
      <c r="F94" s="478" t="s">
        <v>1020</v>
      </c>
      <c r="G94" s="479" t="s">
        <v>323</v>
      </c>
      <c r="H94" s="504" t="s">
        <v>588</v>
      </c>
      <c r="I94" s="503" t="s">
        <v>363</v>
      </c>
      <c r="J94" s="456" t="s">
        <v>628</v>
      </c>
      <c r="K94" s="440"/>
      <c r="L94" s="441"/>
      <c r="M94" s="481" t="s">
        <v>786</v>
      </c>
      <c r="N94" s="481"/>
      <c r="O94" s="481"/>
      <c r="P94" s="500">
        <v>46023.0</v>
      </c>
      <c r="Q94" s="500">
        <v>46204.0</v>
      </c>
      <c r="R94" s="500">
        <v>46296.0</v>
      </c>
      <c r="S94" s="500">
        <v>46388.0</v>
      </c>
    </row>
    <row r="95" ht="31.5" customHeight="1" outlineLevel="1">
      <c r="A95" s="470"/>
      <c r="B95" s="470"/>
      <c r="C95" s="470"/>
      <c r="D95" s="470"/>
      <c r="E95" s="470"/>
      <c r="F95" s="471"/>
      <c r="G95" s="472"/>
      <c r="H95" s="506"/>
      <c r="I95" s="474"/>
      <c r="J95" s="507"/>
      <c r="K95" s="475"/>
      <c r="L95" s="476"/>
      <c r="M95" s="477"/>
      <c r="N95" s="477"/>
      <c r="O95" s="477"/>
      <c r="P95" s="477"/>
      <c r="Q95" s="477"/>
      <c r="R95" s="477"/>
      <c r="S95" s="477"/>
    </row>
    <row r="96" ht="31.5" customHeight="1">
      <c r="A96" s="436" t="s">
        <v>1021</v>
      </c>
      <c r="B96" s="436" t="s">
        <v>1022</v>
      </c>
      <c r="C96" s="436" t="s">
        <v>900</v>
      </c>
      <c r="D96" s="436" t="s">
        <v>900</v>
      </c>
      <c r="E96" s="436" t="str">
        <f t="shared" ref="E96:E101" si="12">"CA-" &amp; B96 &amp; "-" &amp; C96 &amp; "." &amp; D96</f>
        <v>CA-REV-1.1</v>
      </c>
      <c r="F96" s="478" t="s">
        <v>1023</v>
      </c>
      <c r="G96" s="479" t="s">
        <v>323</v>
      </c>
      <c r="H96" s="504" t="s">
        <v>588</v>
      </c>
      <c r="I96" s="503" t="s">
        <v>363</v>
      </c>
      <c r="J96" s="439" t="s">
        <v>281</v>
      </c>
      <c r="K96" s="440"/>
      <c r="L96" s="441"/>
      <c r="M96" s="481" t="s">
        <v>830</v>
      </c>
      <c r="N96" s="481"/>
      <c r="O96" s="481"/>
      <c r="P96" s="500">
        <v>45901.0</v>
      </c>
      <c r="Q96" s="500">
        <v>45962.0</v>
      </c>
      <c r="R96" s="500">
        <v>46023.0</v>
      </c>
      <c r="S96" s="500">
        <v>46113.0</v>
      </c>
    </row>
    <row r="97" ht="31.5" customHeight="1" outlineLevel="1">
      <c r="A97" s="445"/>
      <c r="B97" s="445" t="s">
        <v>1022</v>
      </c>
      <c r="C97" s="445" t="s">
        <v>900</v>
      </c>
      <c r="D97" s="445" t="s">
        <v>905</v>
      </c>
      <c r="E97" s="445" t="str">
        <f t="shared" si="12"/>
        <v>CA-REV-1.2</v>
      </c>
      <c r="F97" s="482" t="s">
        <v>1024</v>
      </c>
      <c r="G97" s="483" t="s">
        <v>323</v>
      </c>
      <c r="H97" s="505" t="s">
        <v>588</v>
      </c>
      <c r="I97" s="502" t="s">
        <v>363</v>
      </c>
      <c r="J97" s="448" t="s">
        <v>281</v>
      </c>
      <c r="K97" s="449"/>
      <c r="L97" s="450"/>
      <c r="M97" s="485" t="s">
        <v>830</v>
      </c>
      <c r="N97" s="485"/>
      <c r="O97" s="485"/>
      <c r="P97" s="498">
        <v>45901.0</v>
      </c>
      <c r="Q97" s="498">
        <v>46023.0</v>
      </c>
      <c r="R97" s="498">
        <v>46113.0</v>
      </c>
      <c r="S97" s="498">
        <v>46204.0</v>
      </c>
    </row>
    <row r="98" ht="31.5" customHeight="1" outlineLevel="1">
      <c r="A98" s="436"/>
      <c r="B98" s="436" t="s">
        <v>1022</v>
      </c>
      <c r="C98" s="436" t="s">
        <v>905</v>
      </c>
      <c r="D98" s="436" t="s">
        <v>900</v>
      </c>
      <c r="E98" s="436" t="str">
        <f t="shared" si="12"/>
        <v>CA-REV-2.1</v>
      </c>
      <c r="F98" s="478" t="s">
        <v>1025</v>
      </c>
      <c r="G98" s="479" t="s">
        <v>323</v>
      </c>
      <c r="H98" s="504" t="s">
        <v>588</v>
      </c>
      <c r="I98" s="503" t="s">
        <v>363</v>
      </c>
      <c r="J98" s="456" t="s">
        <v>628</v>
      </c>
      <c r="K98" s="440"/>
      <c r="L98" s="441"/>
      <c r="M98" s="481" t="s">
        <v>1026</v>
      </c>
      <c r="N98" s="481"/>
      <c r="O98" s="481"/>
      <c r="P98" s="500">
        <v>45901.0</v>
      </c>
      <c r="Q98" s="500">
        <v>46023.0</v>
      </c>
      <c r="R98" s="500">
        <v>46113.0</v>
      </c>
      <c r="S98" s="500">
        <v>46204.0</v>
      </c>
    </row>
    <row r="99" ht="31.5" customHeight="1" outlineLevel="1">
      <c r="A99" s="445"/>
      <c r="B99" s="445" t="s">
        <v>1022</v>
      </c>
      <c r="C99" s="445" t="s">
        <v>905</v>
      </c>
      <c r="D99" s="445" t="s">
        <v>905</v>
      </c>
      <c r="E99" s="445" t="str">
        <f t="shared" si="12"/>
        <v>CA-REV-2.2</v>
      </c>
      <c r="F99" s="482" t="s">
        <v>1027</v>
      </c>
      <c r="G99" s="483" t="s">
        <v>323</v>
      </c>
      <c r="H99" s="505" t="s">
        <v>588</v>
      </c>
      <c r="I99" s="502" t="s">
        <v>363</v>
      </c>
      <c r="J99" s="448" t="s">
        <v>628</v>
      </c>
      <c r="K99" s="449"/>
      <c r="L99" s="450"/>
      <c r="M99" s="485" t="s">
        <v>1026</v>
      </c>
      <c r="N99" s="485"/>
      <c r="O99" s="485"/>
      <c r="P99" s="498">
        <v>45901.0</v>
      </c>
      <c r="Q99" s="498">
        <v>46023.0</v>
      </c>
      <c r="R99" s="498">
        <v>46113.0</v>
      </c>
      <c r="S99" s="498">
        <v>46204.0</v>
      </c>
    </row>
    <row r="100" ht="31.5" customHeight="1" outlineLevel="1">
      <c r="A100" s="436"/>
      <c r="B100" s="436" t="s">
        <v>1022</v>
      </c>
      <c r="C100" s="436" t="s">
        <v>908</v>
      </c>
      <c r="D100" s="436" t="s">
        <v>900</v>
      </c>
      <c r="E100" s="436" t="str">
        <f t="shared" si="12"/>
        <v>CA-REV-3.1</v>
      </c>
      <c r="F100" s="478" t="s">
        <v>1028</v>
      </c>
      <c r="G100" s="479" t="s">
        <v>323</v>
      </c>
      <c r="H100" s="504" t="s">
        <v>588</v>
      </c>
      <c r="I100" s="503" t="s">
        <v>363</v>
      </c>
      <c r="J100" s="456" t="s">
        <v>628</v>
      </c>
      <c r="K100" s="440"/>
      <c r="L100" s="441"/>
      <c r="M100" s="481" t="s">
        <v>1026</v>
      </c>
      <c r="N100" s="481"/>
      <c r="O100" s="481"/>
      <c r="P100" s="500">
        <v>46023.0</v>
      </c>
      <c r="Q100" s="500">
        <v>46113.0</v>
      </c>
      <c r="R100" s="500">
        <v>46204.0</v>
      </c>
      <c r="S100" s="500">
        <v>46296.0</v>
      </c>
    </row>
    <row r="101" ht="31.5" customHeight="1" outlineLevel="1">
      <c r="A101" s="445"/>
      <c r="B101" s="445" t="s">
        <v>1022</v>
      </c>
      <c r="C101" s="445" t="s">
        <v>908</v>
      </c>
      <c r="D101" s="445" t="s">
        <v>905</v>
      </c>
      <c r="E101" s="445" t="str">
        <f t="shared" si="12"/>
        <v>CA-REV-3.2</v>
      </c>
      <c r="F101" s="482" t="s">
        <v>1029</v>
      </c>
      <c r="G101" s="483" t="s">
        <v>323</v>
      </c>
      <c r="H101" s="505" t="s">
        <v>588</v>
      </c>
      <c r="I101" s="502" t="s">
        <v>363</v>
      </c>
      <c r="J101" s="448" t="s">
        <v>628</v>
      </c>
      <c r="K101" s="449"/>
      <c r="L101" s="450"/>
      <c r="M101" s="485" t="s">
        <v>1026</v>
      </c>
      <c r="N101" s="485"/>
      <c r="O101" s="485"/>
      <c r="P101" s="498">
        <v>46023.0</v>
      </c>
      <c r="Q101" s="498">
        <v>46113.0</v>
      </c>
      <c r="R101" s="498">
        <v>46204.0</v>
      </c>
      <c r="S101" s="498">
        <v>46296.0</v>
      </c>
    </row>
    <row r="102" ht="31.5" customHeight="1" outlineLevel="1">
      <c r="A102" s="486"/>
      <c r="B102" s="486"/>
      <c r="C102" s="486"/>
      <c r="D102" s="486"/>
      <c r="E102" s="486"/>
      <c r="F102" s="487"/>
      <c r="G102" s="488"/>
      <c r="H102" s="508"/>
      <c r="I102" s="501"/>
      <c r="J102" s="491"/>
      <c r="K102" s="492"/>
      <c r="L102" s="493"/>
      <c r="M102" s="494"/>
      <c r="N102" s="494"/>
      <c r="O102" s="494"/>
      <c r="P102" s="494"/>
      <c r="Q102" s="494"/>
      <c r="R102" s="494"/>
      <c r="S102" s="494"/>
    </row>
    <row r="103" ht="31.5" customHeight="1">
      <c r="A103" s="445" t="s">
        <v>1030</v>
      </c>
      <c r="B103" s="445" t="s">
        <v>1031</v>
      </c>
      <c r="C103" s="445" t="s">
        <v>900</v>
      </c>
      <c r="D103" s="445" t="s">
        <v>900</v>
      </c>
      <c r="E103" s="445" t="str">
        <f t="shared" ref="E103:E106" si="13">"CA-" &amp; B103 &amp; "-" &amp; C103 &amp; "." &amp; D103</f>
        <v>CA-NAV-1.1</v>
      </c>
      <c r="F103" s="482" t="s">
        <v>1032</v>
      </c>
      <c r="G103" s="483" t="s">
        <v>321</v>
      </c>
      <c r="H103" s="509" t="s">
        <v>281</v>
      </c>
      <c r="I103" s="502" t="s">
        <v>281</v>
      </c>
      <c r="J103" s="496" t="s">
        <v>281</v>
      </c>
      <c r="K103" s="449"/>
      <c r="L103" s="450"/>
      <c r="M103" s="485" t="s">
        <v>1033</v>
      </c>
      <c r="N103" s="485"/>
      <c r="O103" s="485"/>
      <c r="P103" s="498">
        <v>45901.0</v>
      </c>
      <c r="Q103" s="498">
        <v>46023.0</v>
      </c>
      <c r="R103" s="498">
        <v>46113.0</v>
      </c>
      <c r="S103" s="498">
        <v>46204.0</v>
      </c>
    </row>
    <row r="104" ht="31.5" customHeight="1" outlineLevel="1">
      <c r="A104" s="436"/>
      <c r="B104" s="436" t="s">
        <v>1031</v>
      </c>
      <c r="C104" s="436" t="s">
        <v>905</v>
      </c>
      <c r="D104" s="436" t="s">
        <v>900</v>
      </c>
      <c r="E104" s="436" t="str">
        <f t="shared" si="13"/>
        <v>CA-NAV-2.1</v>
      </c>
      <c r="F104" s="478" t="s">
        <v>1034</v>
      </c>
      <c r="G104" s="479" t="s">
        <v>321</v>
      </c>
      <c r="H104" s="510" t="s">
        <v>281</v>
      </c>
      <c r="I104" s="503" t="s">
        <v>281</v>
      </c>
      <c r="J104" s="456" t="s">
        <v>281</v>
      </c>
      <c r="K104" s="440" t="s">
        <v>1035</v>
      </c>
      <c r="L104" s="441"/>
      <c r="M104" s="481" t="s">
        <v>1036</v>
      </c>
      <c r="N104" s="481"/>
      <c r="O104" s="481"/>
      <c r="P104" s="500">
        <v>45901.0</v>
      </c>
      <c r="Q104" s="500">
        <v>46023.0</v>
      </c>
      <c r="R104" s="500">
        <v>46113.0</v>
      </c>
      <c r="S104" s="500">
        <v>46204.0</v>
      </c>
    </row>
    <row r="105" ht="31.5" customHeight="1" outlineLevel="1">
      <c r="A105" s="445"/>
      <c r="B105" s="445" t="s">
        <v>1031</v>
      </c>
      <c r="C105" s="445" t="s">
        <v>905</v>
      </c>
      <c r="D105" s="445" t="s">
        <v>905</v>
      </c>
      <c r="E105" s="445" t="str">
        <f t="shared" si="13"/>
        <v>CA-NAV-2.2</v>
      </c>
      <c r="F105" s="482" t="s">
        <v>1037</v>
      </c>
      <c r="G105" s="483" t="s">
        <v>321</v>
      </c>
      <c r="H105" s="509" t="s">
        <v>281</v>
      </c>
      <c r="I105" s="502" t="s">
        <v>281</v>
      </c>
      <c r="J105" s="448" t="s">
        <v>281</v>
      </c>
      <c r="K105" s="449" t="s">
        <v>997</v>
      </c>
      <c r="L105" s="450"/>
      <c r="M105" s="485" t="s">
        <v>833</v>
      </c>
      <c r="N105" s="485"/>
      <c r="O105" s="485"/>
      <c r="P105" s="498">
        <v>46023.0</v>
      </c>
      <c r="Q105" s="498">
        <v>46113.0</v>
      </c>
      <c r="R105" s="498">
        <v>46204.0</v>
      </c>
      <c r="S105" s="498">
        <v>46296.0</v>
      </c>
    </row>
    <row r="106" ht="31.5" customHeight="1" outlineLevel="1">
      <c r="A106" s="436"/>
      <c r="B106" s="436" t="s">
        <v>1031</v>
      </c>
      <c r="C106" s="436" t="s">
        <v>908</v>
      </c>
      <c r="D106" s="436" t="s">
        <v>900</v>
      </c>
      <c r="E106" s="436" t="str">
        <f t="shared" si="13"/>
        <v>CA-NAV-3.1</v>
      </c>
      <c r="F106" s="478" t="s">
        <v>1038</v>
      </c>
      <c r="G106" s="479" t="s">
        <v>321</v>
      </c>
      <c r="H106" s="510" t="s">
        <v>281</v>
      </c>
      <c r="I106" s="503" t="s">
        <v>281</v>
      </c>
      <c r="J106" s="456" t="s">
        <v>281</v>
      </c>
      <c r="K106" s="440"/>
      <c r="L106" s="441"/>
      <c r="M106" s="481" t="s">
        <v>1039</v>
      </c>
      <c r="N106" s="481"/>
      <c r="O106" s="481"/>
      <c r="P106" s="500">
        <v>45901.0</v>
      </c>
      <c r="Q106" s="500">
        <v>46023.0</v>
      </c>
      <c r="R106" s="500">
        <v>46113.0</v>
      </c>
      <c r="S106" s="500">
        <v>46204.0</v>
      </c>
    </row>
    <row r="107" ht="31.5" customHeight="1" outlineLevel="1">
      <c r="A107" s="470"/>
      <c r="B107" s="470"/>
      <c r="C107" s="470"/>
      <c r="D107" s="470"/>
      <c r="E107" s="470"/>
      <c r="F107" s="471"/>
      <c r="G107" s="472"/>
      <c r="H107" s="506"/>
      <c r="I107" s="474"/>
      <c r="J107" s="507"/>
      <c r="K107" s="475"/>
      <c r="L107" s="476"/>
      <c r="M107" s="477"/>
      <c r="N107" s="477"/>
      <c r="O107" s="477"/>
      <c r="P107" s="477"/>
      <c r="Q107" s="477"/>
      <c r="R107" s="477"/>
      <c r="S107" s="477"/>
    </row>
    <row r="108" ht="31.5" customHeight="1">
      <c r="A108" s="436" t="s">
        <v>1040</v>
      </c>
      <c r="B108" s="436" t="s">
        <v>1041</v>
      </c>
      <c r="C108" s="436" t="s">
        <v>900</v>
      </c>
      <c r="D108" s="436" t="s">
        <v>900</v>
      </c>
      <c r="E108" s="436" t="str">
        <f t="shared" ref="E108:E111" si="14">"CA-" &amp; B108 &amp; "-" &amp; C108 &amp; "." &amp; D108</f>
        <v>CA-MSN-1.1</v>
      </c>
      <c r="F108" s="478" t="s">
        <v>1042</v>
      </c>
      <c r="G108" s="479" t="s">
        <v>321</v>
      </c>
      <c r="H108" s="510" t="s">
        <v>281</v>
      </c>
      <c r="I108" s="503" t="s">
        <v>281</v>
      </c>
      <c r="J108" s="499" t="s">
        <v>281</v>
      </c>
      <c r="K108" s="440" t="s">
        <v>1043</v>
      </c>
      <c r="L108" s="441"/>
      <c r="M108" s="481" t="s">
        <v>1044</v>
      </c>
      <c r="N108" s="481"/>
      <c r="O108" s="481"/>
      <c r="P108" s="500">
        <v>45931.0</v>
      </c>
      <c r="Q108" s="500">
        <v>46023.0</v>
      </c>
      <c r="R108" s="500">
        <v>46113.0</v>
      </c>
      <c r="S108" s="500">
        <v>46204.0</v>
      </c>
    </row>
    <row r="109" ht="31.5" customHeight="1" outlineLevel="1">
      <c r="A109" s="445"/>
      <c r="B109" s="445" t="s">
        <v>1041</v>
      </c>
      <c r="C109" s="445" t="s">
        <v>905</v>
      </c>
      <c r="D109" s="445" t="s">
        <v>900</v>
      </c>
      <c r="E109" s="445" t="str">
        <f t="shared" si="14"/>
        <v>CA-MSN-2.1</v>
      </c>
      <c r="F109" s="482" t="s">
        <v>1045</v>
      </c>
      <c r="G109" s="483" t="s">
        <v>323</v>
      </c>
      <c r="H109" s="509" t="s">
        <v>281</v>
      </c>
      <c r="I109" s="502" t="s">
        <v>281</v>
      </c>
      <c r="J109" s="497" t="s">
        <v>281</v>
      </c>
      <c r="K109" s="449"/>
      <c r="L109" s="450"/>
      <c r="M109" s="485" t="s">
        <v>830</v>
      </c>
      <c r="N109" s="485"/>
      <c r="O109" s="485"/>
      <c r="P109" s="498">
        <v>45931.0</v>
      </c>
      <c r="Q109" s="498">
        <v>46023.0</v>
      </c>
      <c r="R109" s="498">
        <v>46113.0</v>
      </c>
      <c r="S109" s="498">
        <v>46204.0</v>
      </c>
    </row>
    <row r="110" ht="31.5" customHeight="1" outlineLevel="1">
      <c r="A110" s="436"/>
      <c r="B110" s="436" t="s">
        <v>1041</v>
      </c>
      <c r="C110" s="436" t="s">
        <v>908</v>
      </c>
      <c r="D110" s="436" t="s">
        <v>900</v>
      </c>
      <c r="E110" s="436" t="str">
        <f t="shared" si="14"/>
        <v>CA-MSN-3.1</v>
      </c>
      <c r="F110" s="478" t="s">
        <v>1046</v>
      </c>
      <c r="G110" s="479" t="s">
        <v>321</v>
      </c>
      <c r="H110" s="510" t="s">
        <v>281</v>
      </c>
      <c r="I110" s="503" t="s">
        <v>281</v>
      </c>
      <c r="J110" s="499" t="s">
        <v>281</v>
      </c>
      <c r="K110" s="440"/>
      <c r="L110" s="441"/>
      <c r="M110" s="481" t="s">
        <v>814</v>
      </c>
      <c r="N110" s="481"/>
      <c r="O110" s="481"/>
      <c r="P110" s="500">
        <v>45931.0</v>
      </c>
      <c r="Q110" s="500">
        <v>46023.0</v>
      </c>
      <c r="R110" s="500">
        <v>46113.0</v>
      </c>
      <c r="S110" s="500">
        <v>46204.0</v>
      </c>
    </row>
    <row r="111" ht="31.5" customHeight="1" outlineLevel="1">
      <c r="A111" s="445"/>
      <c r="B111" s="445" t="s">
        <v>1041</v>
      </c>
      <c r="C111" s="445" t="s">
        <v>908</v>
      </c>
      <c r="D111" s="445" t="s">
        <v>905</v>
      </c>
      <c r="E111" s="445" t="str">
        <f t="shared" si="14"/>
        <v>CA-MSN-3.2</v>
      </c>
      <c r="F111" s="482" t="s">
        <v>1047</v>
      </c>
      <c r="G111" s="483" t="s">
        <v>321</v>
      </c>
      <c r="H111" s="509" t="s">
        <v>281</v>
      </c>
      <c r="I111" s="502" t="s">
        <v>281</v>
      </c>
      <c r="J111" s="497" t="s">
        <v>281</v>
      </c>
      <c r="K111" s="449"/>
      <c r="L111" s="450"/>
      <c r="M111" s="485" t="s">
        <v>856</v>
      </c>
      <c r="N111" s="485"/>
      <c r="O111" s="485"/>
      <c r="P111" s="498">
        <v>45931.0</v>
      </c>
      <c r="Q111" s="498">
        <v>45962.0</v>
      </c>
      <c r="R111" s="498">
        <v>46113.0</v>
      </c>
      <c r="S111" s="498">
        <v>46204.0</v>
      </c>
    </row>
    <row r="112" ht="31.5" customHeight="1" outlineLevel="1">
      <c r="A112" s="486"/>
      <c r="B112" s="486"/>
      <c r="C112" s="486"/>
      <c r="D112" s="486"/>
      <c r="E112" s="486"/>
      <c r="F112" s="487"/>
      <c r="G112" s="488"/>
      <c r="H112" s="511"/>
      <c r="I112" s="501"/>
      <c r="J112" s="491"/>
      <c r="K112" s="492"/>
      <c r="L112" s="493"/>
      <c r="M112" s="494"/>
      <c r="N112" s="494"/>
      <c r="O112" s="494"/>
      <c r="P112" s="494"/>
      <c r="Q112" s="494"/>
      <c r="R112" s="494"/>
      <c r="S112" s="494"/>
    </row>
    <row r="113" ht="31.5" customHeight="1">
      <c r="A113" s="445" t="s">
        <v>424</v>
      </c>
      <c r="B113" s="445" t="s">
        <v>424</v>
      </c>
      <c r="C113" s="445" t="s">
        <v>1048</v>
      </c>
      <c r="D113" s="445" t="s">
        <v>900</v>
      </c>
      <c r="E113" s="445" t="str">
        <f>"CA-" &amp; B113 &amp; "-" &amp; C113 &amp; "." &amp; D113</f>
        <v>CA-HMI-0.1</v>
      </c>
      <c r="F113" s="445" t="s">
        <v>1049</v>
      </c>
      <c r="G113" s="483" t="s">
        <v>323</v>
      </c>
      <c r="H113" s="483" t="s">
        <v>1050</v>
      </c>
      <c r="I113" s="502" t="s">
        <v>662</v>
      </c>
      <c r="J113" s="502" t="s">
        <v>281</v>
      </c>
      <c r="K113" s="512"/>
      <c r="L113" s="513"/>
      <c r="M113" s="483" t="s">
        <v>752</v>
      </c>
      <c r="N113" s="483"/>
      <c r="O113" s="483"/>
      <c r="P113" s="498">
        <v>45931.0</v>
      </c>
      <c r="Q113" s="514">
        <v>45962.0</v>
      </c>
      <c r="R113" s="514">
        <v>46113.0</v>
      </c>
      <c r="S113" s="514">
        <v>46204.0</v>
      </c>
    </row>
    <row r="114" ht="31.5" customHeight="1" outlineLevel="1">
      <c r="A114" s="436"/>
      <c r="B114" s="436"/>
      <c r="C114" s="436"/>
      <c r="D114" s="436"/>
      <c r="E114" s="436"/>
      <c r="F114" s="436"/>
      <c r="G114" s="479"/>
      <c r="H114" s="479"/>
      <c r="I114" s="503"/>
      <c r="J114" s="503"/>
      <c r="K114" s="515"/>
      <c r="L114" s="516"/>
      <c r="M114" s="479"/>
      <c r="N114" s="479"/>
      <c r="O114" s="479"/>
      <c r="P114" s="479"/>
      <c r="Q114" s="479"/>
      <c r="R114" s="479"/>
      <c r="S114" s="479"/>
    </row>
    <row r="115" ht="31.5" customHeight="1" outlineLevel="1">
      <c r="A115" s="470"/>
      <c r="B115" s="470"/>
      <c r="C115" s="470"/>
      <c r="D115" s="470"/>
      <c r="E115" s="470"/>
      <c r="F115" s="471"/>
      <c r="G115" s="472"/>
      <c r="H115" s="517"/>
      <c r="I115" s="518"/>
      <c r="J115" s="519"/>
      <c r="K115" s="520"/>
      <c r="L115" s="518"/>
      <c r="M115" s="518"/>
      <c r="N115" s="518"/>
      <c r="O115" s="518"/>
      <c r="P115" s="518"/>
      <c r="Q115" s="518"/>
      <c r="R115" s="518"/>
      <c r="S115" s="518"/>
    </row>
    <row r="116" ht="30.75" customHeight="1">
      <c r="A116" s="436" t="s">
        <v>1051</v>
      </c>
      <c r="B116" s="503" t="s">
        <v>1051</v>
      </c>
      <c r="C116" s="503" t="s">
        <v>900</v>
      </c>
      <c r="D116" s="436" t="s">
        <v>900</v>
      </c>
      <c r="E116" s="436" t="str">
        <f t="shared" ref="E116:E129" si="15">"CA-" &amp; B116 &amp; "-" &amp; C116 &amp; "." &amp; D116</f>
        <v>CA-CE-1.1</v>
      </c>
      <c r="F116" s="503" t="s">
        <v>1052</v>
      </c>
      <c r="G116" s="479" t="s">
        <v>325</v>
      </c>
      <c r="H116" s="521" t="s">
        <v>1053</v>
      </c>
      <c r="I116" s="522" t="s">
        <v>662</v>
      </c>
      <c r="J116" s="521" t="s">
        <v>1054</v>
      </c>
      <c r="K116" s="515"/>
      <c r="L116" s="516"/>
      <c r="M116" s="479" t="s">
        <v>837</v>
      </c>
      <c r="N116" s="516"/>
      <c r="O116" s="516"/>
      <c r="P116" s="500">
        <v>45931.0</v>
      </c>
      <c r="Q116" s="523">
        <v>45962.0</v>
      </c>
      <c r="R116" s="523">
        <v>46204.0</v>
      </c>
      <c r="S116" s="523">
        <v>46388.0</v>
      </c>
    </row>
    <row r="117" ht="30.75" customHeight="1" outlineLevel="1">
      <c r="A117" s="445"/>
      <c r="B117" s="502" t="s">
        <v>1051</v>
      </c>
      <c r="C117" s="502" t="s">
        <v>900</v>
      </c>
      <c r="D117" s="445" t="s">
        <v>905</v>
      </c>
      <c r="E117" s="445" t="str">
        <f t="shared" si="15"/>
        <v>CA-CE-1.2</v>
      </c>
      <c r="F117" s="502" t="s">
        <v>1055</v>
      </c>
      <c r="G117" s="483" t="s">
        <v>325</v>
      </c>
      <c r="H117" s="524" t="s">
        <v>1053</v>
      </c>
      <c r="I117" s="525" t="s">
        <v>662</v>
      </c>
      <c r="J117" s="524" t="s">
        <v>281</v>
      </c>
      <c r="K117" s="512"/>
      <c r="L117" s="513"/>
      <c r="M117" s="483" t="s">
        <v>837</v>
      </c>
      <c r="N117" s="513"/>
      <c r="O117" s="513"/>
      <c r="P117" s="498">
        <v>45931.0</v>
      </c>
      <c r="Q117" s="514">
        <v>45962.0</v>
      </c>
      <c r="R117" s="514">
        <v>46204.0</v>
      </c>
      <c r="S117" s="514">
        <v>46388.0</v>
      </c>
    </row>
    <row r="118" ht="30.75" customHeight="1" outlineLevel="1">
      <c r="A118" s="436"/>
      <c r="B118" s="503" t="s">
        <v>1051</v>
      </c>
      <c r="C118" s="503" t="s">
        <v>900</v>
      </c>
      <c r="D118" s="436" t="s">
        <v>908</v>
      </c>
      <c r="E118" s="436" t="str">
        <f t="shared" si="15"/>
        <v>CA-CE-1.3</v>
      </c>
      <c r="F118" s="503" t="s">
        <v>1056</v>
      </c>
      <c r="G118" s="479" t="s">
        <v>325</v>
      </c>
      <c r="H118" s="521" t="s">
        <v>1053</v>
      </c>
      <c r="I118" s="522" t="s">
        <v>662</v>
      </c>
      <c r="J118" s="521" t="s">
        <v>281</v>
      </c>
      <c r="K118" s="515"/>
      <c r="L118" s="516"/>
      <c r="M118" s="479" t="s">
        <v>837</v>
      </c>
      <c r="N118" s="516"/>
      <c r="O118" s="516"/>
      <c r="P118" s="500">
        <v>45931.0</v>
      </c>
      <c r="Q118" s="523">
        <v>45962.0</v>
      </c>
      <c r="R118" s="523">
        <v>46204.0</v>
      </c>
      <c r="S118" s="523">
        <v>46388.0</v>
      </c>
    </row>
    <row r="119" ht="30.75" customHeight="1" outlineLevel="1">
      <c r="A119" s="445"/>
      <c r="B119" s="502" t="s">
        <v>1051</v>
      </c>
      <c r="C119" s="502" t="s">
        <v>900</v>
      </c>
      <c r="D119" s="445" t="s">
        <v>909</v>
      </c>
      <c r="E119" s="445" t="str">
        <f t="shared" si="15"/>
        <v>CA-CE-1.4</v>
      </c>
      <c r="F119" s="502" t="s">
        <v>1057</v>
      </c>
      <c r="G119" s="483" t="s">
        <v>325</v>
      </c>
      <c r="H119" s="524" t="s">
        <v>1053</v>
      </c>
      <c r="I119" s="525" t="s">
        <v>662</v>
      </c>
      <c r="J119" s="524" t="s">
        <v>281</v>
      </c>
      <c r="K119" s="512"/>
      <c r="L119" s="513"/>
      <c r="M119" s="483" t="s">
        <v>837</v>
      </c>
      <c r="N119" s="513"/>
      <c r="O119" s="513"/>
      <c r="P119" s="498">
        <v>45931.0</v>
      </c>
      <c r="Q119" s="514">
        <v>45962.0</v>
      </c>
      <c r="R119" s="514">
        <v>46204.0</v>
      </c>
      <c r="S119" s="514">
        <v>46388.0</v>
      </c>
    </row>
    <row r="120" ht="30.75" customHeight="1" outlineLevel="1">
      <c r="A120" s="436"/>
      <c r="B120" s="503" t="s">
        <v>1051</v>
      </c>
      <c r="C120" s="503" t="s">
        <v>900</v>
      </c>
      <c r="D120" s="436" t="s">
        <v>911</v>
      </c>
      <c r="E120" s="436" t="str">
        <f t="shared" si="15"/>
        <v>CA-CE-1.5</v>
      </c>
      <c r="F120" s="503" t="s">
        <v>1058</v>
      </c>
      <c r="G120" s="479" t="s">
        <v>325</v>
      </c>
      <c r="H120" s="521" t="s">
        <v>1053</v>
      </c>
      <c r="I120" s="522" t="s">
        <v>662</v>
      </c>
      <c r="J120" s="521" t="s">
        <v>281</v>
      </c>
      <c r="K120" s="515"/>
      <c r="L120" s="516"/>
      <c r="M120" s="479" t="s">
        <v>837</v>
      </c>
      <c r="N120" s="516"/>
      <c r="O120" s="516"/>
      <c r="P120" s="500">
        <v>45931.0</v>
      </c>
      <c r="Q120" s="523">
        <v>45962.0</v>
      </c>
      <c r="R120" s="523">
        <v>46204.0</v>
      </c>
      <c r="S120" s="523">
        <v>46388.0</v>
      </c>
    </row>
    <row r="121" ht="30.75" customHeight="1" outlineLevel="1">
      <c r="A121" s="445"/>
      <c r="B121" s="502" t="s">
        <v>1051</v>
      </c>
      <c r="C121" s="502" t="s">
        <v>905</v>
      </c>
      <c r="D121" s="445" t="s">
        <v>900</v>
      </c>
      <c r="E121" s="445" t="str">
        <f t="shared" si="15"/>
        <v>CA-CE-2.1</v>
      </c>
      <c r="F121" s="502" t="s">
        <v>1059</v>
      </c>
      <c r="G121" s="483" t="s">
        <v>328</v>
      </c>
      <c r="H121" s="524" t="s">
        <v>1053</v>
      </c>
      <c r="I121" s="525" t="s">
        <v>662</v>
      </c>
      <c r="J121" s="524" t="s">
        <v>281</v>
      </c>
      <c r="K121" s="512"/>
      <c r="L121" s="513"/>
      <c r="M121" s="483" t="s">
        <v>1060</v>
      </c>
      <c r="N121" s="513"/>
      <c r="O121" s="513"/>
      <c r="P121" s="498">
        <v>45931.0</v>
      </c>
      <c r="Q121" s="514">
        <v>45962.0</v>
      </c>
      <c r="R121" s="514">
        <v>46204.0</v>
      </c>
      <c r="S121" s="514">
        <v>46388.0</v>
      </c>
    </row>
    <row r="122" ht="30.75" customHeight="1" outlineLevel="1">
      <c r="A122" s="436"/>
      <c r="B122" s="503" t="s">
        <v>1051</v>
      </c>
      <c r="C122" s="503" t="s">
        <v>905</v>
      </c>
      <c r="D122" s="436" t="s">
        <v>905</v>
      </c>
      <c r="E122" s="436" t="str">
        <f t="shared" si="15"/>
        <v>CA-CE-2.2</v>
      </c>
      <c r="F122" s="503" t="s">
        <v>1061</v>
      </c>
      <c r="G122" s="479" t="s">
        <v>328</v>
      </c>
      <c r="H122" s="521" t="s">
        <v>1053</v>
      </c>
      <c r="I122" s="522" t="s">
        <v>662</v>
      </c>
      <c r="J122" s="521" t="s">
        <v>281</v>
      </c>
      <c r="K122" s="515"/>
      <c r="L122" s="516"/>
      <c r="M122" s="479" t="s">
        <v>1060</v>
      </c>
      <c r="N122" s="516"/>
      <c r="O122" s="516"/>
      <c r="P122" s="500">
        <v>45931.0</v>
      </c>
      <c r="Q122" s="523">
        <v>45962.0</v>
      </c>
      <c r="R122" s="523">
        <v>46204.0</v>
      </c>
      <c r="S122" s="523">
        <v>46388.0</v>
      </c>
    </row>
    <row r="123" ht="30.75" customHeight="1" outlineLevel="1">
      <c r="A123" s="445"/>
      <c r="B123" s="502" t="s">
        <v>1051</v>
      </c>
      <c r="C123" s="502" t="s">
        <v>905</v>
      </c>
      <c r="D123" s="445" t="s">
        <v>908</v>
      </c>
      <c r="E123" s="445" t="str">
        <f t="shared" si="15"/>
        <v>CA-CE-2.3</v>
      </c>
      <c r="F123" s="502" t="s">
        <v>1062</v>
      </c>
      <c r="G123" s="483" t="s">
        <v>328</v>
      </c>
      <c r="H123" s="524" t="s">
        <v>1053</v>
      </c>
      <c r="I123" s="525" t="s">
        <v>662</v>
      </c>
      <c r="J123" s="524" t="s">
        <v>281</v>
      </c>
      <c r="K123" s="512"/>
      <c r="L123" s="513"/>
      <c r="M123" s="483" t="s">
        <v>1060</v>
      </c>
      <c r="N123" s="513"/>
      <c r="O123" s="513"/>
      <c r="P123" s="498">
        <v>45931.0</v>
      </c>
      <c r="Q123" s="514">
        <v>45962.0</v>
      </c>
      <c r="R123" s="514">
        <v>46204.0</v>
      </c>
      <c r="S123" s="514">
        <v>46388.0</v>
      </c>
    </row>
    <row r="124" ht="30.75" customHeight="1" outlineLevel="1">
      <c r="A124" s="436"/>
      <c r="B124" s="503" t="s">
        <v>1051</v>
      </c>
      <c r="C124" s="503" t="s">
        <v>905</v>
      </c>
      <c r="D124" s="436" t="s">
        <v>909</v>
      </c>
      <c r="E124" s="436" t="str">
        <f t="shared" si="15"/>
        <v>CA-CE-2.4</v>
      </c>
      <c r="F124" s="503" t="s">
        <v>1058</v>
      </c>
      <c r="G124" s="479" t="s">
        <v>328</v>
      </c>
      <c r="H124" s="521" t="s">
        <v>1053</v>
      </c>
      <c r="I124" s="522" t="s">
        <v>662</v>
      </c>
      <c r="J124" s="521" t="s">
        <v>281</v>
      </c>
      <c r="K124" s="515"/>
      <c r="L124" s="516"/>
      <c r="M124" s="479" t="s">
        <v>1060</v>
      </c>
      <c r="N124" s="516"/>
      <c r="O124" s="516"/>
      <c r="P124" s="500">
        <v>45931.0</v>
      </c>
      <c r="Q124" s="523">
        <v>45962.0</v>
      </c>
      <c r="R124" s="523">
        <v>46204.0</v>
      </c>
      <c r="S124" s="523">
        <v>46388.0</v>
      </c>
    </row>
    <row r="125" ht="30.75" customHeight="1" outlineLevel="1">
      <c r="A125" s="445"/>
      <c r="B125" s="502" t="s">
        <v>1051</v>
      </c>
      <c r="C125" s="502" t="s">
        <v>908</v>
      </c>
      <c r="D125" s="445" t="s">
        <v>900</v>
      </c>
      <c r="E125" s="445" t="str">
        <f t="shared" si="15"/>
        <v>CA-CE-3.1</v>
      </c>
      <c r="F125" s="502" t="s">
        <v>1052</v>
      </c>
      <c r="G125" s="483" t="s">
        <v>328</v>
      </c>
      <c r="H125" s="524" t="s">
        <v>1053</v>
      </c>
      <c r="I125" s="525" t="s">
        <v>662</v>
      </c>
      <c r="J125" s="524" t="s">
        <v>1054</v>
      </c>
      <c r="K125" s="512"/>
      <c r="L125" s="513"/>
      <c r="M125" s="483" t="s">
        <v>1063</v>
      </c>
      <c r="N125" s="513"/>
      <c r="O125" s="513"/>
      <c r="P125" s="498">
        <v>45931.0</v>
      </c>
      <c r="Q125" s="514">
        <v>45962.0</v>
      </c>
      <c r="R125" s="514">
        <v>46204.0</v>
      </c>
      <c r="S125" s="514">
        <v>46388.0</v>
      </c>
    </row>
    <row r="126" ht="30.75" customHeight="1" outlineLevel="1">
      <c r="A126" s="436"/>
      <c r="B126" s="503" t="s">
        <v>1051</v>
      </c>
      <c r="C126" s="503" t="s">
        <v>908</v>
      </c>
      <c r="D126" s="436" t="s">
        <v>905</v>
      </c>
      <c r="E126" s="436" t="str">
        <f t="shared" si="15"/>
        <v>CA-CE-3.2</v>
      </c>
      <c r="F126" s="503" t="s">
        <v>1064</v>
      </c>
      <c r="G126" s="479" t="s">
        <v>328</v>
      </c>
      <c r="H126" s="521" t="s">
        <v>1053</v>
      </c>
      <c r="I126" s="522" t="s">
        <v>662</v>
      </c>
      <c r="J126" s="521" t="s">
        <v>281</v>
      </c>
      <c r="K126" s="515"/>
      <c r="L126" s="516"/>
      <c r="M126" s="479" t="s">
        <v>1063</v>
      </c>
      <c r="N126" s="516"/>
      <c r="O126" s="516"/>
      <c r="P126" s="500">
        <v>45931.0</v>
      </c>
      <c r="Q126" s="523">
        <v>45962.0</v>
      </c>
      <c r="R126" s="523">
        <v>46204.0</v>
      </c>
      <c r="S126" s="523">
        <v>46388.0</v>
      </c>
    </row>
    <row r="127" ht="30.75" customHeight="1" outlineLevel="1">
      <c r="A127" s="445"/>
      <c r="B127" s="502" t="s">
        <v>1051</v>
      </c>
      <c r="C127" s="502" t="s">
        <v>908</v>
      </c>
      <c r="D127" s="445" t="s">
        <v>908</v>
      </c>
      <c r="E127" s="445" t="str">
        <f t="shared" si="15"/>
        <v>CA-CE-3.3</v>
      </c>
      <c r="F127" s="502" t="s">
        <v>1065</v>
      </c>
      <c r="G127" s="483" t="s">
        <v>328</v>
      </c>
      <c r="H127" s="524" t="s">
        <v>1053</v>
      </c>
      <c r="I127" s="525" t="s">
        <v>662</v>
      </c>
      <c r="J127" s="524" t="s">
        <v>281</v>
      </c>
      <c r="K127" s="512"/>
      <c r="L127" s="513"/>
      <c r="M127" s="483" t="s">
        <v>1063</v>
      </c>
      <c r="N127" s="513"/>
      <c r="O127" s="513"/>
      <c r="P127" s="498">
        <v>45931.0</v>
      </c>
      <c r="Q127" s="514">
        <v>45962.0</v>
      </c>
      <c r="R127" s="514">
        <v>46204.0</v>
      </c>
      <c r="S127" s="514">
        <v>46388.0</v>
      </c>
    </row>
    <row r="128" ht="30.75" customHeight="1" outlineLevel="1">
      <c r="A128" s="436"/>
      <c r="B128" s="503" t="s">
        <v>1051</v>
      </c>
      <c r="C128" s="503" t="s">
        <v>908</v>
      </c>
      <c r="D128" s="436" t="s">
        <v>909</v>
      </c>
      <c r="E128" s="436" t="str">
        <f t="shared" si="15"/>
        <v>CA-CE-3.4</v>
      </c>
      <c r="F128" s="503" t="s">
        <v>1058</v>
      </c>
      <c r="G128" s="479" t="s">
        <v>328</v>
      </c>
      <c r="H128" s="521" t="s">
        <v>1053</v>
      </c>
      <c r="I128" s="522" t="s">
        <v>662</v>
      </c>
      <c r="J128" s="521" t="s">
        <v>281</v>
      </c>
      <c r="K128" s="515"/>
      <c r="L128" s="516"/>
      <c r="M128" s="479" t="s">
        <v>1063</v>
      </c>
      <c r="N128" s="516"/>
      <c r="O128" s="516"/>
      <c r="P128" s="500">
        <v>45931.0</v>
      </c>
      <c r="Q128" s="523">
        <v>45962.0</v>
      </c>
      <c r="R128" s="523">
        <v>46204.0</v>
      </c>
      <c r="S128" s="523">
        <v>46388.0</v>
      </c>
    </row>
    <row r="129" ht="30.75" customHeight="1" outlineLevel="1">
      <c r="A129" s="445"/>
      <c r="B129" s="502" t="s">
        <v>1051</v>
      </c>
      <c r="C129" s="502" t="s">
        <v>909</v>
      </c>
      <c r="D129" s="445" t="s">
        <v>900</v>
      </c>
      <c r="E129" s="445" t="str">
        <f t="shared" si="15"/>
        <v>CA-CE-4.1</v>
      </c>
      <c r="F129" s="502" t="s">
        <v>101</v>
      </c>
      <c r="G129" s="483" t="s">
        <v>331</v>
      </c>
      <c r="H129" s="524" t="s">
        <v>1053</v>
      </c>
      <c r="I129" s="525" t="s">
        <v>662</v>
      </c>
      <c r="J129" s="524" t="s">
        <v>1054</v>
      </c>
      <c r="K129" s="512"/>
      <c r="L129" s="513"/>
      <c r="M129" s="483" t="s">
        <v>1066</v>
      </c>
      <c r="N129" s="513"/>
      <c r="O129" s="513"/>
      <c r="P129" s="513"/>
      <c r="Q129" s="513"/>
      <c r="R129" s="513"/>
      <c r="S129" s="513"/>
    </row>
    <row r="130" ht="30.75" customHeight="1" outlineLevel="1">
      <c r="A130" s="486"/>
      <c r="B130" s="501"/>
      <c r="C130" s="501"/>
      <c r="D130" s="486"/>
      <c r="E130" s="486"/>
      <c r="F130" s="501"/>
      <c r="G130" s="488"/>
      <c r="H130" s="526"/>
      <c r="I130" s="527"/>
      <c r="J130" s="526"/>
      <c r="K130" s="528"/>
      <c r="L130" s="529"/>
      <c r="M130" s="488"/>
      <c r="N130" s="529"/>
      <c r="O130" s="529"/>
      <c r="P130" s="529"/>
      <c r="Q130" s="529"/>
      <c r="R130" s="529"/>
      <c r="S130" s="529"/>
    </row>
  </sheetData>
  <autoFilter ref="$A$1:$S$130"/>
  <dataValidations>
    <dataValidation type="list" allowBlank="1" showErrorMessage="1" sqref="G2:G28 G30:G31 G33:G37 G39:G49 G51:G52 G54:G58 G61:G64 G66:G78 G80:G106 G108:G111 G113 G116:G129">
      <formula1>Configurations!$B$2:$B$11</formula1>
    </dataValidation>
  </dataValidation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29.5"/>
    <col customWidth="1" min="9" max="9" width="13.25"/>
  </cols>
  <sheetData>
    <row r="1">
      <c r="A1" s="530" t="s">
        <v>314</v>
      </c>
      <c r="B1" s="530" t="s">
        <v>890</v>
      </c>
      <c r="C1" s="530" t="s">
        <v>891</v>
      </c>
      <c r="D1" s="530" t="s">
        <v>892</v>
      </c>
      <c r="E1" s="530" t="s">
        <v>315</v>
      </c>
      <c r="F1" s="530" t="s">
        <v>1067</v>
      </c>
      <c r="G1" s="530" t="s">
        <v>320</v>
      </c>
      <c r="H1" s="530" t="s">
        <v>577</v>
      </c>
      <c r="I1" s="530" t="s">
        <v>578</v>
      </c>
      <c r="J1" s="530" t="s">
        <v>579</v>
      </c>
      <c r="K1" s="530" t="s">
        <v>894</v>
      </c>
      <c r="L1" s="530" t="s">
        <v>334</v>
      </c>
      <c r="M1" s="530" t="s">
        <v>893</v>
      </c>
    </row>
    <row r="2">
      <c r="A2" s="531" t="s">
        <v>1068</v>
      </c>
      <c r="B2" s="531" t="s">
        <v>1069</v>
      </c>
      <c r="C2" s="531" t="s">
        <v>900</v>
      </c>
      <c r="D2" s="531" t="s">
        <v>1048</v>
      </c>
      <c r="E2" s="531" t="str">
        <f t="shared" ref="E2:E8" si="1">"TF-" &amp; B2 &amp; "-" &amp; C2 &amp; "." &amp; D2</f>
        <v>TF-PRC-1.0</v>
      </c>
      <c r="F2" s="532" t="s">
        <v>1070</v>
      </c>
      <c r="G2" s="533" t="s">
        <v>297</v>
      </c>
      <c r="H2" s="534" t="s">
        <v>588</v>
      </c>
      <c r="I2" s="535" t="s">
        <v>363</v>
      </c>
      <c r="J2" s="534" t="s">
        <v>281</v>
      </c>
      <c r="K2" s="536"/>
      <c r="L2" s="536" t="s">
        <v>797</v>
      </c>
      <c r="M2" s="537" t="s">
        <v>1071</v>
      </c>
    </row>
    <row r="3">
      <c r="A3" s="531" t="s">
        <v>1068</v>
      </c>
      <c r="B3" s="531" t="s">
        <v>1069</v>
      </c>
      <c r="C3" s="531" t="s">
        <v>900</v>
      </c>
      <c r="D3" s="531" t="s">
        <v>900</v>
      </c>
      <c r="E3" s="531" t="str">
        <f t="shared" si="1"/>
        <v>TF-PRC-1.1</v>
      </c>
      <c r="F3" s="532" t="s">
        <v>1072</v>
      </c>
      <c r="G3" s="533" t="s">
        <v>297</v>
      </c>
      <c r="H3" s="534" t="s">
        <v>588</v>
      </c>
      <c r="I3" s="535" t="s">
        <v>363</v>
      </c>
      <c r="J3" s="534" t="s">
        <v>281</v>
      </c>
      <c r="K3" s="536"/>
      <c r="L3" s="536" t="s">
        <v>797</v>
      </c>
      <c r="M3" s="537" t="s">
        <v>1071</v>
      </c>
    </row>
    <row r="4">
      <c r="A4" s="531" t="s">
        <v>1068</v>
      </c>
      <c r="B4" s="531" t="s">
        <v>1069</v>
      </c>
      <c r="C4" s="531" t="s">
        <v>900</v>
      </c>
      <c r="D4" s="531" t="s">
        <v>905</v>
      </c>
      <c r="E4" s="531" t="str">
        <f t="shared" si="1"/>
        <v>TF-PRC-1.2</v>
      </c>
      <c r="F4" s="532" t="s">
        <v>1073</v>
      </c>
      <c r="G4" s="533" t="s">
        <v>297</v>
      </c>
      <c r="H4" s="534" t="s">
        <v>588</v>
      </c>
      <c r="I4" s="535" t="s">
        <v>363</v>
      </c>
      <c r="J4" s="534" t="s">
        <v>281</v>
      </c>
      <c r="K4" s="536"/>
      <c r="L4" s="536" t="s">
        <v>797</v>
      </c>
      <c r="M4" s="537" t="s">
        <v>1071</v>
      </c>
    </row>
    <row r="5">
      <c r="A5" s="531" t="s">
        <v>1068</v>
      </c>
      <c r="B5" s="531" t="s">
        <v>1069</v>
      </c>
      <c r="C5" s="531" t="s">
        <v>900</v>
      </c>
      <c r="D5" s="531" t="s">
        <v>908</v>
      </c>
      <c r="E5" s="531" t="str">
        <f t="shared" si="1"/>
        <v>TF-PRC-1.3</v>
      </c>
      <c r="F5" s="532" t="s">
        <v>1074</v>
      </c>
      <c r="G5" s="533" t="s">
        <v>297</v>
      </c>
      <c r="H5" s="534" t="s">
        <v>588</v>
      </c>
      <c r="I5" s="535" t="s">
        <v>363</v>
      </c>
      <c r="J5" s="534" t="s">
        <v>281</v>
      </c>
      <c r="K5" s="536"/>
      <c r="L5" s="536" t="s">
        <v>797</v>
      </c>
      <c r="M5" s="537" t="s">
        <v>1071</v>
      </c>
    </row>
    <row r="6">
      <c r="A6" s="531" t="s">
        <v>1068</v>
      </c>
      <c r="B6" s="531" t="s">
        <v>1069</v>
      </c>
      <c r="C6" s="531" t="s">
        <v>900</v>
      </c>
      <c r="D6" s="531" t="s">
        <v>909</v>
      </c>
      <c r="E6" s="531" t="str">
        <f t="shared" si="1"/>
        <v>TF-PRC-1.4</v>
      </c>
      <c r="F6" s="532" t="s">
        <v>1075</v>
      </c>
      <c r="G6" s="533" t="s">
        <v>297</v>
      </c>
      <c r="H6" s="534" t="s">
        <v>588</v>
      </c>
      <c r="I6" s="535" t="s">
        <v>363</v>
      </c>
      <c r="J6" s="534" t="s">
        <v>281</v>
      </c>
      <c r="K6" s="538"/>
      <c r="L6" s="536" t="s">
        <v>797</v>
      </c>
      <c r="M6" s="537" t="s">
        <v>1071</v>
      </c>
    </row>
    <row r="7">
      <c r="A7" s="531" t="s">
        <v>1068</v>
      </c>
      <c r="B7" s="531" t="s">
        <v>1069</v>
      </c>
      <c r="C7" s="531" t="s">
        <v>900</v>
      </c>
      <c r="D7" s="531" t="s">
        <v>911</v>
      </c>
      <c r="E7" s="531" t="str">
        <f t="shared" si="1"/>
        <v>TF-PRC-1.5</v>
      </c>
      <c r="F7" s="539" t="s">
        <v>1076</v>
      </c>
      <c r="G7" s="533" t="s">
        <v>297</v>
      </c>
      <c r="H7" s="534" t="s">
        <v>588</v>
      </c>
      <c r="I7" s="535" t="s">
        <v>363</v>
      </c>
      <c r="J7" s="534" t="s">
        <v>281</v>
      </c>
      <c r="K7" s="538"/>
      <c r="L7" s="536" t="s">
        <v>797</v>
      </c>
      <c r="M7" s="537" t="s">
        <v>1071</v>
      </c>
    </row>
    <row r="8">
      <c r="A8" s="536" t="s">
        <v>1077</v>
      </c>
      <c r="B8" s="536" t="s">
        <v>1078</v>
      </c>
      <c r="C8" s="531" t="s">
        <v>900</v>
      </c>
      <c r="D8" s="531" t="s">
        <v>1048</v>
      </c>
      <c r="E8" s="531" t="str">
        <f t="shared" si="1"/>
        <v>TF-BAR-1.0</v>
      </c>
      <c r="F8" s="539" t="s">
        <v>1079</v>
      </c>
      <c r="G8" s="540" t="s">
        <v>1080</v>
      </c>
      <c r="H8" s="534" t="s">
        <v>588</v>
      </c>
      <c r="I8" s="535" t="s">
        <v>363</v>
      </c>
      <c r="J8" s="534" t="s">
        <v>281</v>
      </c>
      <c r="K8" s="538"/>
      <c r="L8" s="536" t="s">
        <v>797</v>
      </c>
      <c r="M8" s="537" t="s">
        <v>1081</v>
      </c>
    </row>
  </sheetData>
  <dataValidations>
    <dataValidation type="list" allowBlank="1" showErrorMessage="1" sqref="G2:G8">
      <formula1>"Terberg,CA500,T800,All,N/A"</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7" max="7" width="33.25"/>
  </cols>
  <sheetData>
    <row r="1">
      <c r="A1" s="541" t="s">
        <v>1082</v>
      </c>
      <c r="B1" s="542"/>
      <c r="C1" s="190"/>
      <c r="D1" s="190"/>
      <c r="E1" s="190"/>
      <c r="F1" s="541" t="s">
        <v>1082</v>
      </c>
      <c r="G1" s="542"/>
      <c r="H1" s="190"/>
      <c r="I1" s="190"/>
      <c r="J1" s="190"/>
      <c r="K1" s="190"/>
      <c r="L1" s="190"/>
      <c r="M1" s="190"/>
      <c r="N1" s="190"/>
      <c r="O1" s="190"/>
      <c r="P1" s="190"/>
      <c r="Q1" s="190"/>
      <c r="R1" s="190"/>
      <c r="S1" s="190"/>
      <c r="T1" s="190"/>
      <c r="U1" s="190"/>
      <c r="V1" s="190"/>
      <c r="W1" s="190"/>
      <c r="X1" s="190"/>
      <c r="Y1" s="190"/>
      <c r="Z1" s="190"/>
    </row>
    <row r="2">
      <c r="A2" s="543" t="s">
        <v>320</v>
      </c>
      <c r="B2" s="544" t="s">
        <v>323</v>
      </c>
      <c r="C2" s="190"/>
      <c r="D2" s="190"/>
      <c r="E2" s="190"/>
      <c r="F2" s="543" t="s">
        <v>320</v>
      </c>
      <c r="G2" s="544" t="s">
        <v>323</v>
      </c>
      <c r="H2" s="190"/>
      <c r="I2" s="190"/>
      <c r="J2" s="190"/>
      <c r="K2" s="190"/>
      <c r="L2" s="190"/>
      <c r="M2" s="190"/>
      <c r="N2" s="190"/>
      <c r="O2" s="190"/>
      <c r="P2" s="190"/>
      <c r="Q2" s="190"/>
      <c r="R2" s="190"/>
      <c r="S2" s="190"/>
      <c r="T2" s="190"/>
      <c r="U2" s="190"/>
      <c r="V2" s="190"/>
      <c r="W2" s="190"/>
      <c r="X2" s="190"/>
      <c r="Y2" s="190"/>
      <c r="Z2" s="190"/>
    </row>
    <row r="3">
      <c r="A3" s="543" t="s">
        <v>577</v>
      </c>
      <c r="B3" s="545" t="s">
        <v>588</v>
      </c>
      <c r="C3" s="190"/>
      <c r="D3" s="190"/>
      <c r="E3" s="190"/>
      <c r="F3" s="543" t="s">
        <v>577</v>
      </c>
      <c r="G3" s="545" t="s">
        <v>588</v>
      </c>
      <c r="H3" s="190"/>
      <c r="I3" s="190"/>
      <c r="J3" s="190"/>
      <c r="K3" s="190"/>
      <c r="L3" s="190"/>
      <c r="M3" s="190"/>
      <c r="N3" s="190"/>
      <c r="O3" s="190"/>
      <c r="P3" s="190"/>
      <c r="Q3" s="190"/>
      <c r="R3" s="190"/>
      <c r="S3" s="190"/>
      <c r="T3" s="190"/>
      <c r="U3" s="190"/>
      <c r="V3" s="190"/>
      <c r="W3" s="190"/>
      <c r="X3" s="190"/>
      <c r="Y3" s="190"/>
      <c r="Z3" s="190"/>
    </row>
    <row r="4">
      <c r="A4" s="543" t="s">
        <v>578</v>
      </c>
      <c r="B4" s="545" t="s">
        <v>1083</v>
      </c>
      <c r="C4" s="190"/>
      <c r="D4" s="190"/>
      <c r="E4" s="190"/>
      <c r="F4" s="543" t="s">
        <v>578</v>
      </c>
      <c r="G4" s="545" t="s">
        <v>366</v>
      </c>
      <c r="H4" s="190"/>
      <c r="I4" s="190"/>
      <c r="J4" s="190"/>
      <c r="K4" s="190"/>
      <c r="L4" s="190"/>
      <c r="M4" s="190"/>
      <c r="N4" s="190"/>
      <c r="O4" s="190"/>
      <c r="P4" s="190"/>
      <c r="Q4" s="190"/>
      <c r="R4" s="190"/>
      <c r="S4" s="190"/>
      <c r="T4" s="190"/>
      <c r="U4" s="190"/>
      <c r="V4" s="190"/>
      <c r="W4" s="190"/>
      <c r="X4" s="190"/>
      <c r="Y4" s="190"/>
      <c r="Z4" s="190"/>
    </row>
    <row r="5">
      <c r="A5" s="543" t="s">
        <v>579</v>
      </c>
      <c r="B5" s="545" t="s">
        <v>628</v>
      </c>
      <c r="C5" s="190"/>
      <c r="D5" s="190"/>
      <c r="E5" s="190"/>
      <c r="F5" s="543" t="s">
        <v>579</v>
      </c>
      <c r="G5" s="545" t="s">
        <v>628</v>
      </c>
      <c r="H5" s="190"/>
      <c r="I5" s="190"/>
      <c r="J5" s="190"/>
      <c r="K5" s="190"/>
      <c r="L5" s="190"/>
      <c r="M5" s="190"/>
      <c r="N5" s="190"/>
      <c r="O5" s="190"/>
      <c r="P5" s="190"/>
      <c r="Q5" s="190"/>
      <c r="R5" s="190"/>
      <c r="S5" s="190"/>
      <c r="T5" s="190"/>
      <c r="U5" s="190"/>
      <c r="V5" s="190"/>
      <c r="W5" s="190"/>
      <c r="X5" s="190"/>
      <c r="Y5" s="190"/>
      <c r="Z5" s="190"/>
    </row>
    <row r="6">
      <c r="A6" s="546" t="s">
        <v>295</v>
      </c>
      <c r="B6" s="547">
        <v>46174.0</v>
      </c>
      <c r="C6" s="190"/>
      <c r="D6" s="190"/>
      <c r="E6" s="190"/>
      <c r="F6" s="546" t="s">
        <v>539</v>
      </c>
      <c r="G6" s="545" t="s">
        <v>583</v>
      </c>
      <c r="H6" s="190"/>
      <c r="I6" s="190"/>
      <c r="J6" s="190"/>
      <c r="K6" s="190"/>
      <c r="L6" s="190"/>
      <c r="M6" s="190"/>
      <c r="N6" s="190"/>
      <c r="O6" s="190"/>
      <c r="P6" s="190"/>
      <c r="Q6" s="190"/>
      <c r="R6" s="190"/>
      <c r="S6" s="190"/>
      <c r="T6" s="190"/>
      <c r="U6" s="190"/>
      <c r="V6" s="190"/>
      <c r="W6" s="190"/>
      <c r="X6" s="190"/>
      <c r="Y6" s="190"/>
      <c r="Z6" s="190"/>
    </row>
    <row r="7">
      <c r="A7" s="190"/>
      <c r="B7" s="190"/>
      <c r="C7" s="548"/>
      <c r="D7" s="190"/>
      <c r="E7" s="190"/>
      <c r="F7" s="190"/>
      <c r="G7" s="190"/>
      <c r="H7" s="190"/>
      <c r="I7" s="190"/>
      <c r="J7" s="190"/>
      <c r="K7" s="190"/>
      <c r="L7" s="190"/>
      <c r="M7" s="190"/>
      <c r="N7" s="190"/>
      <c r="O7" s="190"/>
      <c r="P7" s="190"/>
      <c r="Q7" s="190"/>
      <c r="R7" s="190"/>
      <c r="S7" s="190"/>
      <c r="T7" s="190"/>
      <c r="U7" s="190"/>
      <c r="V7" s="190"/>
      <c r="W7" s="190"/>
      <c r="X7" s="190"/>
      <c r="Y7" s="190"/>
      <c r="Z7" s="190"/>
    </row>
    <row r="8">
      <c r="A8" s="541" t="s">
        <v>1084</v>
      </c>
      <c r="B8" s="549"/>
      <c r="C8" s="549"/>
      <c r="D8" s="542"/>
      <c r="E8" s="190"/>
      <c r="F8" s="550" t="s">
        <v>1085</v>
      </c>
      <c r="G8" s="549"/>
      <c r="H8" s="549"/>
      <c r="I8" s="542"/>
      <c r="J8" s="190"/>
      <c r="K8" s="190"/>
      <c r="L8" s="190"/>
      <c r="M8" s="190"/>
      <c r="N8" s="190"/>
      <c r="O8" s="190"/>
      <c r="P8" s="190"/>
      <c r="Q8" s="190"/>
      <c r="R8" s="190"/>
      <c r="S8" s="190"/>
      <c r="T8" s="190"/>
      <c r="U8" s="190"/>
      <c r="V8" s="190"/>
      <c r="W8" s="190"/>
      <c r="X8" s="190"/>
      <c r="Y8" s="190"/>
      <c r="Z8" s="190"/>
    </row>
    <row r="9">
      <c r="A9" s="551" t="s">
        <v>1086</v>
      </c>
      <c r="B9" s="552" t="s">
        <v>1087</v>
      </c>
      <c r="C9" s="553" t="s">
        <v>1088</v>
      </c>
      <c r="D9" s="553" t="s">
        <v>539</v>
      </c>
      <c r="F9" s="551" t="s">
        <v>1086</v>
      </c>
      <c r="G9" s="552" t="s">
        <v>1087</v>
      </c>
      <c r="H9" s="553" t="s">
        <v>1089</v>
      </c>
      <c r="I9" s="553" t="s">
        <v>1090</v>
      </c>
      <c r="J9" s="554"/>
      <c r="K9" s="190"/>
      <c r="L9" s="554"/>
      <c r="M9" s="190"/>
      <c r="N9" s="190"/>
      <c r="O9" s="190"/>
      <c r="P9" s="190"/>
      <c r="Q9" s="190"/>
      <c r="R9" s="190"/>
      <c r="S9" s="190"/>
      <c r="T9" s="190"/>
      <c r="U9" s="190"/>
      <c r="V9" s="190"/>
      <c r="W9" s="190"/>
      <c r="X9" s="190"/>
      <c r="Y9" s="190"/>
      <c r="Z9" s="190"/>
    </row>
    <row r="10">
      <c r="A10" s="555" t="str">
        <f t="array" ref="A10:A128">'Product Features'!B2:B125</f>
        <v>PF-ACT-1.1</v>
      </c>
      <c r="B10" s="556" t="str">
        <f t="array" ref="B10:B128">'Product Features'!C2:C125</f>
        <v>Road vehicles: operate around/ regular interactions (baseline)</v>
      </c>
      <c r="C10" s="557" t="str">
        <f>IFERROR(__xludf.DUMMYFUNCTION("IF(
    ISERROR(
        FILTER(
            'Product Features'!$C:$C,
            'Product Features'!$C:$C = B10,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10" s="558" t="str">
        <f t="array" ref="D10">INDEX('Product Features'!$N$1:$P$1, , MIN(3, MATCH($B$6, {-9E+99, INDEX('Product Features'!$N:$P, MATCH(B10, 'Product Features'!$C:$C, 0), 0) * 1}, 1)))</f>
        <v>TRL 3</v>
      </c>
      <c r="F10" s="555" t="str">
        <f t="array" ref="F10:F128">'Product Features'!B2:B125</f>
        <v>PF-ACT-1.1</v>
      </c>
      <c r="G10" s="556" t="str">
        <f t="array" ref="G10:G128">'Product Features'!C2:C125</f>
        <v>Road vehicles: operate around/ regular interactions (baseline)</v>
      </c>
      <c r="H10" s="559">
        <f t="array" ref="H10">INDEX('Product Features'!$M:$M, MATCH(G10, 'Product Features'!$C:$C, 0))</f>
        <v>45931</v>
      </c>
      <c r="I10" s="560">
        <f t="array" ref="I10">INDEX(
    INDEX('Product Features'!$N:$P, MATCH(G10, 'Product Features'!$C:$C, 0), 0),
    MATCH($G$6, 'Product Features'!$N$1:$P$1, 0)
)</f>
        <v>46296</v>
      </c>
      <c r="J10" s="554"/>
      <c r="K10" s="190"/>
      <c r="L10" s="554"/>
      <c r="M10" s="190"/>
      <c r="N10" s="190"/>
      <c r="O10" s="190"/>
      <c r="P10" s="190"/>
      <c r="Q10" s="190"/>
      <c r="R10" s="190"/>
      <c r="S10" s="190"/>
      <c r="T10" s="190"/>
      <c r="U10" s="190"/>
      <c r="V10" s="190"/>
      <c r="W10" s="190"/>
      <c r="X10" s="190"/>
      <c r="Y10" s="190"/>
      <c r="Z10" s="190"/>
    </row>
    <row r="11">
      <c r="A11" s="555" t="s">
        <v>591</v>
      </c>
      <c r="B11" s="561" t="s">
        <v>592</v>
      </c>
      <c r="C11" s="557" t="str">
        <f>IFERROR(__xludf.DUMMYFUNCTION("IF(
    ISERROR(
        FILTER(
            'Product Features'!$C:$C,
            'Product Features'!$C:$C = B11,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11" s="558" t="str">
        <f t="array" ref="D11">INDEX('Product Features'!$N$1:$P$1, , MIN(3, MATCH($B$6, {-9E+99, INDEX('Product Features'!$N:$P, MATCH(B11, 'Product Features'!$C:$C, 0), 0) * 1}, 1)))</f>
        <v>TRL 3</v>
      </c>
      <c r="F11" s="555" t="s">
        <v>591</v>
      </c>
      <c r="G11" s="562" t="s">
        <v>592</v>
      </c>
      <c r="H11" s="559">
        <f t="array" ref="H11">INDEX('Product Features'!$M:$M, MATCH(G11, 'Product Features'!$C:$C, 0))</f>
        <v>45931</v>
      </c>
      <c r="I11" s="560">
        <f t="array" ref="I11">INDEX(
    INDEX('Product Features'!$N:$P, MATCH(G11, 'Product Features'!$C:$C, 0), 0),
    MATCH($G$6, 'Product Features'!$N$1:$P$1, 0)
)</f>
        <v>46296</v>
      </c>
      <c r="J11" s="554"/>
      <c r="K11" s="190"/>
      <c r="L11" s="190"/>
      <c r="M11" s="190"/>
      <c r="N11" s="190"/>
      <c r="O11" s="190"/>
      <c r="P11" s="190"/>
      <c r="Q11" s="190"/>
      <c r="R11" s="190"/>
      <c r="S11" s="190"/>
      <c r="T11" s="190"/>
      <c r="U11" s="190"/>
      <c r="V11" s="190"/>
      <c r="W11" s="190"/>
      <c r="X11" s="190"/>
      <c r="Y11" s="190"/>
      <c r="Z11" s="190"/>
    </row>
    <row r="12">
      <c r="A12" s="555" t="s">
        <v>595</v>
      </c>
      <c r="B12" s="563" t="s">
        <v>596</v>
      </c>
      <c r="C12" s="557" t="str">
        <f>IFERROR(__xludf.DUMMYFUNCTION("IF(
    ISERROR(
        FILTER(
            'Product Features'!$C:$C,
            'Product Features'!$C:$C = B12,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12" s="558" t="str">
        <f t="array" ref="D12">INDEX('Product Features'!$N$1:$P$1, , MIN(3, MATCH($B$6, {-9E+99, INDEX('Product Features'!$N:$P, MATCH(B12, 'Product Features'!$C:$C, 0), 0) * 1}, 1)))</f>
        <v>TRL 3</v>
      </c>
      <c r="E12" s="190"/>
      <c r="F12" s="555" t="s">
        <v>595</v>
      </c>
      <c r="G12" s="563" t="s">
        <v>596</v>
      </c>
      <c r="H12" s="559">
        <f t="array" ref="H12">INDEX('Product Features'!$M:$M, MATCH(G12, 'Product Features'!$C:$C, 0))</f>
        <v>45931</v>
      </c>
      <c r="I12" s="560">
        <f t="array" ref="I12">INDEX(
    INDEX('Product Features'!$N:$P, MATCH(G12, 'Product Features'!$C:$C, 0), 0),
    MATCH($G$6, 'Product Features'!$N$1:$P$1, 0)
)</f>
        <v>46296</v>
      </c>
      <c r="J12" s="554"/>
      <c r="K12" s="190"/>
      <c r="L12" s="190"/>
      <c r="M12" s="190"/>
      <c r="N12" s="190"/>
      <c r="O12" s="190"/>
      <c r="P12" s="190"/>
      <c r="Q12" s="190"/>
      <c r="R12" s="190"/>
      <c r="S12" s="190"/>
      <c r="T12" s="190"/>
      <c r="U12" s="190"/>
      <c r="V12" s="190"/>
      <c r="W12" s="190"/>
      <c r="X12" s="190"/>
      <c r="Y12" s="190"/>
      <c r="Z12" s="190"/>
    </row>
    <row r="13">
      <c r="A13" s="555" t="s">
        <v>599</v>
      </c>
      <c r="B13" s="563" t="s">
        <v>600</v>
      </c>
      <c r="C13" s="557" t="str">
        <f>IFERROR(__xludf.DUMMYFUNCTION("IF(
    ISERROR(
        FILTER(
            'Product Features'!$C:$C,
            'Product Features'!$C:$C = B13,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13" s="558" t="str">
        <f t="array" ref="D13">INDEX('Product Features'!$N$1:$P$1, , MIN(3, MATCH($B$6, {-9E+99, INDEX('Product Features'!$N:$P, MATCH(B13, 'Product Features'!$C:$C, 0), 0) * 1}, 1)))</f>
        <v>TRL 3</v>
      </c>
      <c r="E13" s="190"/>
      <c r="F13" s="555" t="s">
        <v>599</v>
      </c>
      <c r="G13" s="563" t="s">
        <v>600</v>
      </c>
      <c r="H13" s="559">
        <f t="array" ref="H13">INDEX('Product Features'!$M:$M, MATCH(G13, 'Product Features'!$C:$C, 0))</f>
        <v>45931</v>
      </c>
      <c r="I13" s="560">
        <f t="array" ref="I13">INDEX(
    INDEX('Product Features'!$N:$P, MATCH(G13, 'Product Features'!$C:$C, 0), 0),
    MATCH($G$6, 'Product Features'!$N$1:$P$1, 0)
)</f>
        <v>46296</v>
      </c>
      <c r="J13" s="554"/>
      <c r="K13" s="190"/>
      <c r="L13" s="190"/>
      <c r="M13" s="190"/>
      <c r="N13" s="190"/>
      <c r="O13" s="190"/>
      <c r="P13" s="190"/>
      <c r="Q13" s="190"/>
      <c r="R13" s="190"/>
      <c r="S13" s="190"/>
      <c r="T13" s="190"/>
      <c r="U13" s="190"/>
      <c r="V13" s="190"/>
      <c r="W13" s="190"/>
      <c r="X13" s="190"/>
      <c r="Y13" s="190"/>
      <c r="Z13" s="190"/>
    </row>
    <row r="14">
      <c r="A14" s="555" t="s">
        <v>602</v>
      </c>
      <c r="B14" s="563" t="s">
        <v>603</v>
      </c>
      <c r="C14" s="557" t="str">
        <f>IFERROR(__xludf.DUMMYFUNCTION("IF(
    ISERROR(
        FILTER(
            'Product Features'!$C:$C,
            'Product Features'!$C:$C = B14,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14" s="558" t="str">
        <f t="array" ref="D14">INDEX('Product Features'!$N$1:$P$1, , MIN(3, MATCH($B$6, {-9E+99, INDEX('Product Features'!$N:$P, MATCH(B14, 'Product Features'!$C:$C, 0), 0) * 1}, 1)))</f>
        <v>TRL 3</v>
      </c>
      <c r="E14" s="190"/>
      <c r="F14" s="555" t="s">
        <v>602</v>
      </c>
      <c r="G14" s="563" t="s">
        <v>603</v>
      </c>
      <c r="H14" s="559">
        <f t="array" ref="H14">INDEX('Product Features'!$M:$M, MATCH(G14, 'Product Features'!$C:$C, 0))</f>
        <v>45931</v>
      </c>
      <c r="I14" s="560">
        <f t="array" ref="I14">INDEX(
    INDEX('Product Features'!$N:$P, MATCH(G14, 'Product Features'!$C:$C, 0), 0),
    MATCH($G$6, 'Product Features'!$N$1:$P$1, 0)
)</f>
        <v>46296</v>
      </c>
      <c r="J14" s="554"/>
      <c r="K14" s="190"/>
      <c r="L14" s="190"/>
      <c r="M14" s="190"/>
      <c r="N14" s="190"/>
      <c r="O14" s="190"/>
      <c r="P14" s="190"/>
      <c r="Q14" s="190"/>
      <c r="R14" s="190"/>
      <c r="S14" s="190"/>
      <c r="T14" s="190"/>
      <c r="U14" s="190"/>
      <c r="V14" s="190"/>
      <c r="W14" s="190"/>
      <c r="X14" s="190"/>
      <c r="Y14" s="190"/>
      <c r="Z14" s="190"/>
    </row>
    <row r="15">
      <c r="A15" s="555" t="s">
        <v>605</v>
      </c>
      <c r="B15" s="563" t="s">
        <v>606</v>
      </c>
      <c r="C15" s="557" t="str">
        <f>IFERROR(__xludf.DUMMYFUNCTION("IF(
    ISERROR(
        FILTER(
            'Product Features'!$C:$C,
            'Product Features'!$C:$C = B15,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15" s="558" t="str">
        <f t="array" ref="D15">INDEX('Product Features'!$N$1:$P$1, , MIN(3, MATCH($B$6, {-9E+99, INDEX('Product Features'!$N:$P, MATCH(B15, 'Product Features'!$C:$C, 0), 0) * 1}, 1)))</f>
        <v>TRL 3</v>
      </c>
      <c r="E15" s="190"/>
      <c r="F15" s="555" t="s">
        <v>605</v>
      </c>
      <c r="G15" s="563" t="s">
        <v>606</v>
      </c>
      <c r="H15" s="559">
        <f t="array" ref="H15">INDEX('Product Features'!$M:$M, MATCH(G15, 'Product Features'!$C:$C, 0))</f>
        <v>45931</v>
      </c>
      <c r="I15" s="560">
        <f t="array" ref="I15">INDEX(
    INDEX('Product Features'!$N:$P, MATCH(G15, 'Product Features'!$C:$C, 0), 0),
    MATCH($G$6, 'Product Features'!$N$1:$P$1, 0)
)</f>
        <v>46296</v>
      </c>
      <c r="J15" s="554"/>
      <c r="K15" s="190"/>
      <c r="L15" s="190"/>
      <c r="M15" s="190"/>
      <c r="N15" s="190"/>
      <c r="O15" s="190"/>
      <c r="P15" s="190"/>
      <c r="Q15" s="190"/>
      <c r="R15" s="190"/>
      <c r="S15" s="190"/>
      <c r="T15" s="190"/>
      <c r="U15" s="190"/>
      <c r="V15" s="190"/>
      <c r="W15" s="190"/>
      <c r="X15" s="190"/>
      <c r="Y15" s="190"/>
      <c r="Z15" s="190"/>
    </row>
    <row r="16">
      <c r="A16" s="555" t="s">
        <v>608</v>
      </c>
      <c r="B16" s="563" t="s">
        <v>609</v>
      </c>
      <c r="C16" s="557" t="str">
        <f>IFERROR(__xludf.DUMMYFUNCTION("IF(
    ISERROR(
        FILTER(
            'Product Features'!$C:$C,
            'Product Features'!$C:$C = B16,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16" s="558" t="str">
        <f t="array" ref="D16">INDEX('Product Features'!$N$1:$P$1, , MIN(3, MATCH($B$6, {-9E+99, INDEX('Product Features'!$N:$P, MATCH(B16, 'Product Features'!$C:$C, 0), 0) * 1}, 1)))</f>
        <v>TRL 3</v>
      </c>
      <c r="E16" s="190"/>
      <c r="F16" s="555" t="s">
        <v>608</v>
      </c>
      <c r="G16" s="563" t="s">
        <v>609</v>
      </c>
      <c r="H16" s="559">
        <f t="array" ref="H16">INDEX('Product Features'!$M:$M, MATCH(G16, 'Product Features'!$C:$C, 0))</f>
        <v>46023</v>
      </c>
      <c r="I16" s="560">
        <f t="array" ref="I16">INDEX(
    INDEX('Product Features'!$N:$P, MATCH(G16, 'Product Features'!$C:$C, 0), 0),
    MATCH($G$6, 'Product Features'!$N$1:$P$1, 0)
)</f>
        <v>46296</v>
      </c>
      <c r="J16" s="554"/>
      <c r="K16" s="190"/>
      <c r="L16" s="190"/>
      <c r="M16" s="190"/>
      <c r="N16" s="190"/>
      <c r="O16" s="190"/>
      <c r="P16" s="190"/>
      <c r="Q16" s="190"/>
      <c r="R16" s="190"/>
      <c r="S16" s="190"/>
      <c r="T16" s="190"/>
      <c r="U16" s="190"/>
      <c r="V16" s="190"/>
      <c r="W16" s="190"/>
      <c r="X16" s="190"/>
      <c r="Y16" s="190"/>
      <c r="Z16" s="190"/>
    </row>
    <row r="17">
      <c r="A17" s="555"/>
      <c r="B17" s="563"/>
      <c r="C17" s="557"/>
      <c r="D17" s="558"/>
      <c r="E17" s="190"/>
      <c r="F17" s="555"/>
      <c r="G17" s="563"/>
      <c r="H17" s="564"/>
      <c r="I17" s="560"/>
      <c r="J17" s="554"/>
      <c r="K17" s="190"/>
      <c r="L17" s="190"/>
      <c r="M17" s="190"/>
      <c r="N17" s="190"/>
      <c r="O17" s="190"/>
      <c r="P17" s="190"/>
      <c r="Q17" s="190"/>
      <c r="R17" s="190"/>
      <c r="S17" s="190"/>
      <c r="T17" s="190"/>
      <c r="U17" s="190"/>
      <c r="V17" s="190"/>
      <c r="W17" s="190"/>
      <c r="X17" s="190"/>
      <c r="Y17" s="190"/>
      <c r="Z17" s="190"/>
    </row>
    <row r="18">
      <c r="A18" s="555" t="s">
        <v>613</v>
      </c>
      <c r="B18" s="563" t="s">
        <v>614</v>
      </c>
      <c r="C18" s="557" t="str">
        <f>IFERROR(__xludf.DUMMYFUNCTION("IF(
    ISERROR(
        FILTER(
            'Product Features'!$C:$C,
            'Product Features'!$C:$C = B18,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18" s="558" t="str">
        <f t="array" ref="D18">INDEX('Product Features'!$N$1:$P$1, , MIN(3, MATCH($B$6, {-9E+99, INDEX('Product Features'!$N:$P, MATCH(B18, 'Product Features'!$C:$C, 0), 0) * 1}, 1)))</f>
        <v>TRL 9</v>
      </c>
      <c r="E18" s="190"/>
      <c r="F18" s="555" t="s">
        <v>613</v>
      </c>
      <c r="G18" s="563" t="s">
        <v>614</v>
      </c>
      <c r="H18" s="559">
        <f t="array" ref="H18">INDEX('Product Features'!$M:$M, MATCH(G18, 'Product Features'!$C:$C, 0))</f>
        <v>45931</v>
      </c>
      <c r="I18" s="560">
        <f t="array" ref="I18">INDEX(
    INDEX('Product Features'!$N:$P, MATCH(G18, 'Product Features'!$C:$C, 0), 0),
    MATCH($G$6, 'Product Features'!$N$1:$P$1, 0)
)</f>
        <v>45962</v>
      </c>
      <c r="J18" s="554"/>
      <c r="K18" s="190"/>
      <c r="L18" s="190"/>
      <c r="M18" s="190"/>
      <c r="N18" s="190"/>
      <c r="O18" s="190"/>
      <c r="P18" s="190"/>
      <c r="Q18" s="190"/>
      <c r="R18" s="190"/>
      <c r="S18" s="190"/>
      <c r="T18" s="190"/>
      <c r="U18" s="190"/>
      <c r="V18" s="190"/>
      <c r="W18" s="190"/>
      <c r="X18" s="190"/>
      <c r="Y18" s="190"/>
      <c r="Z18" s="190"/>
    </row>
    <row r="19">
      <c r="A19" s="555" t="s">
        <v>617</v>
      </c>
      <c r="B19" s="563" t="s">
        <v>618</v>
      </c>
      <c r="C19" s="557" t="str">
        <f>IFERROR(__xludf.DUMMYFUNCTION("IF(
    ISERROR(
        FILTER(
            'Product Features'!$C:$C,
            'Product Features'!$C:$C = B19,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19" s="558" t="str">
        <f t="array" ref="D19">INDEX('Product Features'!$N$1:$P$1, , MIN(3, MATCH($B$6, {-9E+99, INDEX('Product Features'!$N:$P, MATCH(B19, 'Product Features'!$C:$C, 0), 0) * 1}, 1)))</f>
        <v>TRL 9</v>
      </c>
      <c r="E19" s="190"/>
      <c r="F19" s="555" t="s">
        <v>617</v>
      </c>
      <c r="G19" s="563" t="s">
        <v>618</v>
      </c>
      <c r="H19" s="559">
        <f t="array" ref="H19">INDEX('Product Features'!$M:$M, MATCH(G19, 'Product Features'!$C:$C, 0))</f>
        <v>45931</v>
      </c>
      <c r="I19" s="560">
        <f t="array" ref="I19">INDEX(
    INDEX('Product Features'!$N:$P, MATCH(G19, 'Product Features'!$C:$C, 0), 0),
    MATCH($G$6, 'Product Features'!$N$1:$P$1, 0)
)</f>
        <v>46113</v>
      </c>
      <c r="J19" s="554"/>
      <c r="K19" s="190"/>
      <c r="L19" s="190"/>
      <c r="M19" s="190"/>
      <c r="N19" s="190"/>
      <c r="O19" s="190"/>
      <c r="P19" s="190"/>
      <c r="Q19" s="190"/>
      <c r="R19" s="190"/>
      <c r="S19" s="190"/>
      <c r="T19" s="190"/>
      <c r="U19" s="190"/>
      <c r="V19" s="190"/>
      <c r="W19" s="190"/>
      <c r="X19" s="190"/>
      <c r="Y19" s="190"/>
      <c r="Z19" s="190"/>
    </row>
    <row r="20">
      <c r="A20" s="555" t="s">
        <v>621</v>
      </c>
      <c r="B20" s="563" t="s">
        <v>622</v>
      </c>
      <c r="C20" s="557" t="str">
        <f>IFERROR(__xludf.DUMMYFUNCTION("IF(
    ISERROR(
        FILTER(
            'Product Features'!$C:$C,
            'Product Features'!$C:$C = B20,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20" s="558" t="str">
        <f t="array" ref="D20">INDEX('Product Features'!$N$1:$P$1, , MIN(3, MATCH($B$6, {-9E+99, INDEX('Product Features'!$N:$P, MATCH(B20, 'Product Features'!$C:$C, 0), 0) * 1}, 1)))</f>
        <v>TRL 9</v>
      </c>
      <c r="E20" s="190"/>
      <c r="F20" s="555" t="s">
        <v>621</v>
      </c>
      <c r="G20" s="563" t="s">
        <v>622</v>
      </c>
      <c r="H20" s="559">
        <f t="array" ref="H20">INDEX('Product Features'!$M:$M, MATCH(G20, 'Product Features'!$C:$C, 0))</f>
        <v>45931</v>
      </c>
      <c r="I20" s="560">
        <f t="array" ref="I20">INDEX(
    INDEX('Product Features'!$N:$P, MATCH(G20, 'Product Features'!$C:$C, 0), 0),
    MATCH($G$6, 'Product Features'!$N$1:$P$1, 0)
)</f>
        <v>46113</v>
      </c>
      <c r="J20" s="554"/>
      <c r="K20" s="190"/>
      <c r="L20" s="190"/>
      <c r="M20" s="190"/>
      <c r="N20" s="190"/>
      <c r="O20" s="190"/>
      <c r="P20" s="190"/>
      <c r="Q20" s="190"/>
      <c r="R20" s="190"/>
      <c r="S20" s="190"/>
      <c r="T20" s="190"/>
      <c r="U20" s="190"/>
      <c r="V20" s="190"/>
      <c r="W20" s="190"/>
      <c r="X20" s="190"/>
      <c r="Y20" s="190"/>
      <c r="Z20" s="190"/>
    </row>
    <row r="21">
      <c r="A21" s="555" t="s">
        <v>624</v>
      </c>
      <c r="B21" s="563" t="s">
        <v>625</v>
      </c>
      <c r="C21" s="557" t="str">
        <f>IFERROR(__xludf.DUMMYFUNCTION("IF(
    ISERROR(
        FILTER(
            'Product Features'!$C:$C,
            'Product Features'!$C:$C = B21,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21" s="558" t="str">
        <f t="array" ref="D21">INDEX('Product Features'!$N$1:$P$1, , MIN(3, MATCH($B$6, {-9E+99, INDEX('Product Features'!$N:$P, MATCH(B21, 'Product Features'!$C:$C, 0), 0) * 1}, 1)))</f>
        <v>TRL 9</v>
      </c>
      <c r="E21" s="190"/>
      <c r="F21" s="555" t="s">
        <v>624</v>
      </c>
      <c r="G21" s="563" t="s">
        <v>625</v>
      </c>
      <c r="H21" s="559" t="str">
        <f t="array" ref="H21">INDEX('Product Features'!$M:$M, MATCH(G21, 'Product Features'!$C:$C, 0))</f>
        <v/>
      </c>
      <c r="I21" s="560" t="str">
        <f t="array" ref="I21">INDEX(
    INDEX('Product Features'!$N:$P, MATCH(G21, 'Product Features'!$C:$C, 0), 0),
    MATCH($G$6, 'Product Features'!$N$1:$P$1, 0)
)</f>
        <v/>
      </c>
      <c r="J21" s="554"/>
      <c r="K21" s="190"/>
      <c r="L21" s="190"/>
      <c r="M21" s="190"/>
      <c r="N21" s="190"/>
      <c r="O21" s="190"/>
      <c r="P21" s="190"/>
      <c r="Q21" s="190"/>
      <c r="R21" s="190"/>
      <c r="S21" s="190"/>
      <c r="T21" s="190"/>
      <c r="U21" s="190"/>
      <c r="V21" s="190"/>
      <c r="W21" s="190"/>
      <c r="X21" s="190"/>
      <c r="Y21" s="190"/>
      <c r="Z21" s="190"/>
    </row>
    <row r="22">
      <c r="A22" s="555" t="s">
        <v>626</v>
      </c>
      <c r="B22" s="563" t="s">
        <v>627</v>
      </c>
      <c r="C22" s="557" t="str">
        <f>IFERROR(__xludf.DUMMYFUNCTION("IF(
    ISERROR(
        FILTER(
            'Product Features'!$C:$C,
            'Product Features'!$C:$C = B22,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22" s="558" t="str">
        <f t="array" ref="D22">INDEX('Product Features'!$N$1:$P$1, , MIN(3, MATCH($B$6, {-9E+99, INDEX('Product Features'!$N:$P, MATCH(B22, 'Product Features'!$C:$C, 0), 0) * 1}, 1)))</f>
        <v>TRL 9</v>
      </c>
      <c r="E22" s="190"/>
      <c r="F22" s="555" t="s">
        <v>626</v>
      </c>
      <c r="G22" s="563" t="s">
        <v>627</v>
      </c>
      <c r="H22" s="559">
        <f t="array" ref="H22">INDEX('Product Features'!$M:$M, MATCH(G22, 'Product Features'!$C:$C, 0))</f>
        <v>45931</v>
      </c>
      <c r="I22" s="560">
        <f t="array" ref="I22">INDEX(
    INDEX('Product Features'!$N:$P, MATCH(G22, 'Product Features'!$C:$C, 0), 0),
    MATCH($G$6, 'Product Features'!$N$1:$P$1, 0)
)</f>
        <v>45962</v>
      </c>
      <c r="J22" s="554"/>
      <c r="K22" s="190"/>
      <c r="L22" s="190"/>
      <c r="M22" s="190"/>
      <c r="N22" s="190"/>
      <c r="O22" s="190"/>
      <c r="P22" s="190"/>
      <c r="Q22" s="190"/>
      <c r="R22" s="190"/>
      <c r="S22" s="190"/>
      <c r="T22" s="190"/>
      <c r="U22" s="190"/>
      <c r="V22" s="190"/>
      <c r="W22" s="190"/>
      <c r="X22" s="190"/>
      <c r="Y22" s="190"/>
      <c r="Z22" s="190"/>
    </row>
    <row r="23">
      <c r="A23" s="555" t="s">
        <v>630</v>
      </c>
      <c r="B23" s="563" t="s">
        <v>631</v>
      </c>
      <c r="C23" s="557" t="str">
        <f>IFERROR(__xludf.DUMMYFUNCTION("IF(
    ISERROR(
        FILTER(
            'Product Features'!$C:$C,
            'Product Features'!$C:$C = B23,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23" s="558" t="str">
        <f t="array" ref="D23">INDEX('Product Features'!$N$1:$P$1, , MIN(3, MATCH($B$6, {-9E+99, INDEX('Product Features'!$N:$P, MATCH(B23, 'Product Features'!$C:$C, 0), 0) * 1}, 1)))</f>
        <v>TRL 9</v>
      </c>
      <c r="E23" s="190"/>
      <c r="F23" s="555" t="s">
        <v>630</v>
      </c>
      <c r="G23" s="563" t="s">
        <v>631</v>
      </c>
      <c r="H23" s="559">
        <f t="array" ref="H23">INDEX('Product Features'!$M:$M, MATCH(G23, 'Product Features'!$C:$C, 0))</f>
        <v>45931</v>
      </c>
      <c r="I23" s="560">
        <f t="array" ref="I23">INDEX(
    INDEX('Product Features'!$N:$P, MATCH(G23, 'Product Features'!$C:$C, 0), 0),
    MATCH($G$6, 'Product Features'!$N$1:$P$1, 0)
)</f>
        <v>46113</v>
      </c>
      <c r="J23" s="554"/>
      <c r="K23" s="190"/>
      <c r="L23" s="190"/>
      <c r="M23" s="190"/>
      <c r="N23" s="190"/>
      <c r="O23" s="190"/>
      <c r="P23" s="190"/>
      <c r="Q23" s="190"/>
      <c r="R23" s="190"/>
      <c r="S23" s="190"/>
      <c r="T23" s="190"/>
      <c r="U23" s="190"/>
      <c r="V23" s="190"/>
      <c r="W23" s="190"/>
      <c r="X23" s="190"/>
      <c r="Y23" s="190"/>
      <c r="Z23" s="190"/>
    </row>
    <row r="24">
      <c r="A24" s="555" t="s">
        <v>634</v>
      </c>
      <c r="B24" s="563" t="s">
        <v>635</v>
      </c>
      <c r="C24" s="557" t="str">
        <f>IFERROR(__xludf.DUMMYFUNCTION("IF(
    ISERROR(
        FILTER(
            'Product Features'!$C:$C,
            'Product Features'!$C:$C = B24,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24" s="558" t="str">
        <f t="array" ref="D24">INDEX('Product Features'!$N$1:$P$1, , MIN(3, MATCH($B$6, {-9E+99, INDEX('Product Features'!$N:$P, MATCH(B24, 'Product Features'!$C:$C, 0), 0) * 1}, 1)))</f>
        <v>TRL 9</v>
      </c>
      <c r="E24" s="190"/>
      <c r="F24" s="555" t="s">
        <v>634</v>
      </c>
      <c r="G24" s="563" t="s">
        <v>635</v>
      </c>
      <c r="H24" s="559" t="str">
        <f t="array" ref="H24">INDEX('Product Features'!$M:$M, MATCH(G24, 'Product Features'!$C:$C, 0))</f>
        <v/>
      </c>
      <c r="I24" s="560" t="str">
        <f t="array" ref="I24">INDEX(
    INDEX('Product Features'!$N:$P, MATCH(G24, 'Product Features'!$C:$C, 0), 0),
    MATCH($G$6, 'Product Features'!$N$1:$P$1, 0)
)</f>
        <v/>
      </c>
      <c r="J24" s="554"/>
      <c r="K24" s="190"/>
      <c r="L24" s="190"/>
      <c r="M24" s="190"/>
      <c r="N24" s="190"/>
      <c r="O24" s="190"/>
      <c r="P24" s="190"/>
      <c r="Q24" s="190"/>
      <c r="R24" s="190"/>
      <c r="S24" s="190"/>
      <c r="T24" s="190"/>
      <c r="U24" s="190"/>
      <c r="V24" s="190"/>
      <c r="W24" s="190"/>
      <c r="X24" s="190"/>
      <c r="Y24" s="190"/>
      <c r="Z24" s="190"/>
    </row>
    <row r="25">
      <c r="A25" s="555" t="s">
        <v>636</v>
      </c>
      <c r="B25" s="563" t="s">
        <v>637</v>
      </c>
      <c r="C25" s="557" t="str">
        <f>IFERROR(__xludf.DUMMYFUNCTION("IF(
    ISERROR(
        FILTER(
            'Product Features'!$C:$C,
            'Product Features'!$C:$C = B25,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25" s="558" t="str">
        <f t="array" ref="D25">INDEX('Product Features'!$N$1:$P$1, , MIN(3, MATCH($B$6, {-9E+99, INDEX('Product Features'!$N:$P, MATCH(B25, 'Product Features'!$C:$C, 0), 0) * 1}, 1)))</f>
        <v>TRL 9</v>
      </c>
      <c r="E25" s="190"/>
      <c r="F25" s="555" t="s">
        <v>636</v>
      </c>
      <c r="G25" s="563" t="s">
        <v>637</v>
      </c>
      <c r="H25" s="559" t="str">
        <f t="array" ref="H25">INDEX('Product Features'!$M:$M, MATCH(G25, 'Product Features'!$C:$C, 0))</f>
        <v/>
      </c>
      <c r="I25" s="560" t="str">
        <f t="array" ref="I25">INDEX(
    INDEX('Product Features'!$N:$P, MATCH(G25, 'Product Features'!$C:$C, 0), 0),
    MATCH($G$6, 'Product Features'!$N$1:$P$1, 0)
)</f>
        <v/>
      </c>
      <c r="J25" s="554"/>
      <c r="K25" s="190"/>
      <c r="L25" s="190"/>
      <c r="M25" s="190"/>
      <c r="N25" s="190"/>
      <c r="O25" s="190"/>
      <c r="P25" s="190"/>
      <c r="Q25" s="190"/>
      <c r="R25" s="190"/>
      <c r="S25" s="190"/>
      <c r="T25" s="190"/>
      <c r="U25" s="190"/>
      <c r="V25" s="190"/>
      <c r="W25" s="190"/>
      <c r="X25" s="190"/>
      <c r="Y25" s="190"/>
      <c r="Z25" s="190"/>
    </row>
    <row r="26">
      <c r="A26" s="555" t="s">
        <v>639</v>
      </c>
      <c r="B26" s="563" t="s">
        <v>640</v>
      </c>
      <c r="C26" s="557" t="str">
        <f>IFERROR(__xludf.DUMMYFUNCTION("IF(
    ISERROR(
        FILTER(
            'Product Features'!$C:$C,
            'Product Features'!$C:$C = B26,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26" s="558" t="str">
        <f t="array" ref="D26">INDEX('Product Features'!$N$1:$P$1, , MIN(3, MATCH($B$6, {-9E+99, INDEX('Product Features'!$N:$P, MATCH(B26, 'Product Features'!$C:$C, 0), 0) * 1}, 1)))</f>
        <v>TRL 9</v>
      </c>
      <c r="E26" s="190"/>
      <c r="F26" s="555" t="s">
        <v>639</v>
      </c>
      <c r="G26" s="563" t="s">
        <v>640</v>
      </c>
      <c r="H26" s="559">
        <f t="array" ref="H26">INDEX('Product Features'!$M:$M, MATCH(G26, 'Product Features'!$C:$C, 0))</f>
        <v>45931</v>
      </c>
      <c r="I26" s="560">
        <f t="array" ref="I26">INDEX(
    INDEX('Product Features'!$N:$P, MATCH(G26, 'Product Features'!$C:$C, 0), 0),
    MATCH($G$6, 'Product Features'!$N$1:$P$1, 0)
)</f>
        <v>45962</v>
      </c>
      <c r="J26" s="554"/>
      <c r="K26" s="190"/>
      <c r="L26" s="190"/>
      <c r="M26" s="190"/>
      <c r="N26" s="190"/>
      <c r="O26" s="190"/>
      <c r="P26" s="190"/>
      <c r="Q26" s="190"/>
      <c r="R26" s="190"/>
      <c r="S26" s="190"/>
      <c r="T26" s="190"/>
      <c r="U26" s="190"/>
      <c r="V26" s="190"/>
      <c r="W26" s="190"/>
      <c r="X26" s="190"/>
      <c r="Y26" s="190"/>
      <c r="Z26" s="190"/>
    </row>
    <row r="27">
      <c r="A27" s="555" t="s">
        <v>642</v>
      </c>
      <c r="B27" s="563" t="s">
        <v>643</v>
      </c>
      <c r="C27" s="557" t="str">
        <f>IFERROR(__xludf.DUMMYFUNCTION("IF(
    ISERROR(
        FILTER(
            'Product Features'!$C:$C,
            'Product Features'!$C:$C = B27,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27" s="558" t="str">
        <f t="array" ref="D27">INDEX('Product Features'!$N$1:$P$1, , MIN(3, MATCH($B$6, {-9E+99, INDEX('Product Features'!$N:$P, MATCH(B27, 'Product Features'!$C:$C, 0), 0) * 1}, 1)))</f>
        <v>TRL 3</v>
      </c>
      <c r="E27" s="190"/>
      <c r="F27" s="555" t="s">
        <v>642</v>
      </c>
      <c r="G27" s="563" t="s">
        <v>643</v>
      </c>
      <c r="H27" s="559">
        <f t="array" ref="H27">INDEX('Product Features'!$M:$M, MATCH(G27, 'Product Features'!$C:$C, 0))</f>
        <v>46113</v>
      </c>
      <c r="I27" s="560">
        <f t="array" ref="I27">INDEX(
    INDEX('Product Features'!$N:$P, MATCH(G27, 'Product Features'!$C:$C, 0), 0),
    MATCH($G$6, 'Product Features'!$N$1:$P$1, 0)
)</f>
        <v>46296</v>
      </c>
      <c r="J27" s="190"/>
      <c r="K27" s="190"/>
      <c r="L27" s="190"/>
      <c r="M27" s="190"/>
      <c r="N27" s="190"/>
      <c r="O27" s="190"/>
      <c r="P27" s="190"/>
      <c r="Q27" s="190"/>
      <c r="R27" s="190"/>
      <c r="S27" s="190"/>
      <c r="T27" s="190"/>
      <c r="U27" s="190"/>
      <c r="V27" s="190"/>
      <c r="W27" s="190"/>
      <c r="X27" s="190"/>
      <c r="Y27" s="190"/>
      <c r="Z27" s="190"/>
    </row>
    <row r="28">
      <c r="A28" s="555" t="s">
        <v>646</v>
      </c>
      <c r="B28" s="563" t="s">
        <v>647</v>
      </c>
      <c r="C28" s="557" t="str">
        <f>IFERROR(__xludf.DUMMYFUNCTION("IF(
    ISERROR(
        FILTER(
            'Product Features'!$C:$C,
            'Product Features'!$C:$C = B28,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28" s="558" t="str">
        <f t="array" ref="D28">INDEX('Product Features'!$N$1:$P$1, , MIN(3, MATCH($B$6, {-9E+99, INDEX('Product Features'!$N:$P, MATCH(B28, 'Product Features'!$C:$C, 0), 0) * 1}, 1)))</f>
        <v>TRL 9</v>
      </c>
      <c r="E28" s="190"/>
      <c r="F28" s="555" t="s">
        <v>646</v>
      </c>
      <c r="G28" s="563" t="s">
        <v>647</v>
      </c>
      <c r="H28" s="559" t="str">
        <f t="array" ref="H28">INDEX('Product Features'!$M:$M, MATCH(G28, 'Product Features'!$C:$C, 0))</f>
        <v/>
      </c>
      <c r="I28" s="560" t="str">
        <f t="array" ref="I28">INDEX(
    INDEX('Product Features'!$N:$P, MATCH(G28, 'Product Features'!$C:$C, 0), 0),
    MATCH($G$6, 'Product Features'!$N$1:$P$1, 0)
)</f>
        <v/>
      </c>
      <c r="J28" s="190"/>
      <c r="K28" s="190"/>
      <c r="L28" s="190"/>
      <c r="M28" s="190"/>
      <c r="N28" s="190"/>
      <c r="O28" s="190"/>
      <c r="P28" s="190"/>
      <c r="Q28" s="190"/>
      <c r="R28" s="190"/>
      <c r="S28" s="190"/>
      <c r="T28" s="190"/>
      <c r="U28" s="190"/>
      <c r="V28" s="190"/>
      <c r="W28" s="190"/>
      <c r="X28" s="190"/>
      <c r="Y28" s="190"/>
      <c r="Z28" s="190"/>
    </row>
    <row r="29">
      <c r="A29" s="555" t="s">
        <v>650</v>
      </c>
      <c r="B29" s="563" t="s">
        <v>651</v>
      </c>
      <c r="C29" s="557" t="str">
        <f>IFERROR(__xludf.DUMMYFUNCTION("IF(
    ISERROR(
        FILTER(
            'Product Features'!$C:$C,
            'Product Features'!$C:$C = B29,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29" s="558" t="str">
        <f t="array" ref="D29">INDEX('Product Features'!$N$1:$P$1, , MIN(3, MATCH($B$6, {-9E+99, INDEX('Product Features'!$N:$P, MATCH(B29, 'Product Features'!$C:$C, 0), 0) * 1}, 1)))</f>
        <v>TRL 9</v>
      </c>
      <c r="E29" s="190"/>
      <c r="F29" s="555" t="s">
        <v>650</v>
      </c>
      <c r="G29" s="563" t="s">
        <v>651</v>
      </c>
      <c r="H29" s="559">
        <f t="array" ref="H29">INDEX('Product Features'!$M:$M, MATCH(G29, 'Product Features'!$C:$C, 0))</f>
        <v>45931</v>
      </c>
      <c r="I29" s="560">
        <f t="array" ref="I29">INDEX(
    INDEX('Product Features'!$N:$P, MATCH(G29, 'Product Features'!$C:$C, 0), 0),
    MATCH($G$6, 'Product Features'!$N$1:$P$1, 0)
)</f>
        <v>45962</v>
      </c>
      <c r="J29" s="190"/>
      <c r="K29" s="190"/>
      <c r="L29" s="190"/>
      <c r="M29" s="190"/>
      <c r="N29" s="190"/>
      <c r="O29" s="190"/>
      <c r="P29" s="190"/>
      <c r="Q29" s="190"/>
      <c r="R29" s="190"/>
      <c r="S29" s="190"/>
      <c r="T29" s="190"/>
      <c r="U29" s="190"/>
      <c r="V29" s="190"/>
      <c r="W29" s="190"/>
      <c r="X29" s="190"/>
      <c r="Y29" s="190"/>
      <c r="Z29" s="190"/>
    </row>
    <row r="30">
      <c r="A30" s="555" t="s">
        <v>654</v>
      </c>
      <c r="B30" s="563" t="s">
        <v>655</v>
      </c>
      <c r="C30" s="557" t="str">
        <f>IFERROR(__xludf.DUMMYFUNCTION("IF(
    ISERROR(
        FILTER(
            'Product Features'!$C:$C,
            'Product Features'!$C:$C = B30,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30" s="558" t="str">
        <f t="array" ref="D30">INDEX('Product Features'!$N$1:$P$1, , MIN(3, MATCH($B$6, {-9E+99, INDEX('Product Features'!$N:$P, MATCH(B30, 'Product Features'!$C:$C, 0), 0) * 1}, 1)))</f>
        <v>TRL 6</v>
      </c>
      <c r="E30" s="190"/>
      <c r="F30" s="555" t="s">
        <v>654</v>
      </c>
      <c r="G30" s="563" t="s">
        <v>655</v>
      </c>
      <c r="H30" s="559">
        <f t="array" ref="H30">INDEX('Product Features'!$M:$M, MATCH(G30, 'Product Features'!$C:$C, 0))</f>
        <v>46023</v>
      </c>
      <c r="I30" s="560">
        <f t="array" ref="I30">INDEX(
    INDEX('Product Features'!$N:$P, MATCH(G30, 'Product Features'!$C:$C, 0), 0),
    MATCH($G$6, 'Product Features'!$N$1:$P$1, 0)
)</f>
        <v>46204</v>
      </c>
      <c r="J30" s="190"/>
      <c r="K30" s="190"/>
      <c r="L30" s="190"/>
      <c r="M30" s="190"/>
      <c r="N30" s="190"/>
      <c r="O30" s="190"/>
      <c r="P30" s="190"/>
      <c r="Q30" s="190"/>
      <c r="R30" s="190"/>
      <c r="S30" s="190"/>
      <c r="T30" s="190"/>
      <c r="U30" s="190"/>
      <c r="V30" s="190"/>
      <c r="W30" s="190"/>
      <c r="X30" s="190"/>
      <c r="Y30" s="190"/>
      <c r="Z30" s="190"/>
    </row>
    <row r="31">
      <c r="A31" s="555" t="s">
        <v>658</v>
      </c>
      <c r="B31" s="563" t="s">
        <v>659</v>
      </c>
      <c r="C31" s="557"/>
      <c r="D31" s="558"/>
      <c r="E31" s="190"/>
      <c r="F31" s="555" t="s">
        <v>658</v>
      </c>
      <c r="G31" s="563" t="s">
        <v>659</v>
      </c>
      <c r="H31" s="564"/>
      <c r="I31" s="560"/>
      <c r="J31" s="190"/>
      <c r="K31" s="190"/>
      <c r="L31" s="190"/>
      <c r="M31" s="190"/>
      <c r="N31" s="190"/>
      <c r="O31" s="190"/>
      <c r="P31" s="190"/>
      <c r="Q31" s="190"/>
      <c r="R31" s="190"/>
      <c r="S31" s="190"/>
      <c r="T31" s="190"/>
      <c r="U31" s="190"/>
      <c r="V31" s="190"/>
      <c r="W31" s="190"/>
      <c r="X31" s="190"/>
      <c r="Y31" s="190"/>
      <c r="Z31" s="190"/>
    </row>
    <row r="32">
      <c r="A32" s="555"/>
      <c r="B32" s="563"/>
      <c r="C32" s="557" t="str">
        <f>IFERROR(__xludf.DUMMYFUNCTION("IF(
    ISERROR(
        FILTER(
            'Product Features'!$C:$C,
            'Product Features'!$C:$C = B32,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32" s="558" t="str">
        <f t="array" ref="D32">INDEX('Product Features'!$N$1:$P$1, , MIN(3, MATCH($B$6, {-9E+99, INDEX('Product Features'!$N:$P, MATCH(B32, 'Product Features'!$C:$C, 0), 0) * 1}, 1)))</f>
        <v>TRL 3</v>
      </c>
      <c r="E32" s="190"/>
      <c r="F32" s="555"/>
      <c r="G32" s="563"/>
      <c r="H32" s="564" t="str">
        <f t="array" ref="H32">INDEX('Product Features'!$M:$M, MATCH(G32, 'Product Features'!$C:$C, 0))</f>
        <v>#N/A</v>
      </c>
      <c r="I32" s="560" t="str">
        <f t="array" ref="I32">INDEX(
    INDEX('Product Features'!$N:$P, MATCH(G32, 'Product Features'!$C:$C, 0), 0),
    MATCH($G$6, 'Product Features'!$N$1:$P$1, 0)
)</f>
        <v>#N/A</v>
      </c>
      <c r="J32" s="190"/>
      <c r="K32" s="190"/>
      <c r="L32" s="190"/>
      <c r="M32" s="190"/>
      <c r="N32" s="190"/>
      <c r="O32" s="190"/>
      <c r="P32" s="190"/>
      <c r="Q32" s="190"/>
      <c r="R32" s="190"/>
      <c r="S32" s="190"/>
      <c r="T32" s="190"/>
      <c r="U32" s="190"/>
      <c r="V32" s="190"/>
      <c r="W32" s="190"/>
      <c r="X32" s="190"/>
      <c r="Y32" s="190"/>
      <c r="Z32" s="190"/>
    </row>
    <row r="33">
      <c r="A33" s="555" t="s">
        <v>662</v>
      </c>
      <c r="B33" s="563" t="s">
        <v>663</v>
      </c>
      <c r="C33" s="557" t="str">
        <f>IFERROR(__xludf.DUMMYFUNCTION("IF(
    ISERROR(
        FILTER(
            'Product Features'!$C:$C,
            'Product Features'!$C:$C = B33,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)"),"NO")</f>
        <v>NO</v>
      </c>
      <c r="D33" s="558" t="str">
        <f t="array" ref="D33">INDEX('Product Features'!$N$1:$P$1, , MIN(3, MATCH($B$6, {-9E+99, INDEX('Product Features'!$N:$P, MATCH(B33, 'Product Features'!$C:$C, 0), 0) * 1}, 1)))</f>
        <v>TRL 9</v>
      </c>
      <c r="E33" s="190"/>
      <c r="F33" s="555" t="s">
        <v>662</v>
      </c>
      <c r="G33" s="563" t="s">
        <v>663</v>
      </c>
      <c r="H33" s="559" t="str">
        <f t="array" ref="H33">INDEX('Product Features'!$M:$M, MATCH(G33, 'Product Features'!$C:$C, 0))</f>
        <v/>
      </c>
      <c r="I33" s="560" t="str">
        <f t="array" ref="I33">INDEX(
    INDEX('Product Features'!$N:$P, MATCH(G33, 'Product Features'!$C:$C, 0), 0),
    MATCH($G$6, 'Product Features'!$N$1:$P$1, 0)
)</f>
        <v/>
      </c>
      <c r="J33" s="190"/>
      <c r="K33" s="190"/>
      <c r="L33" s="190"/>
      <c r="M33" s="190"/>
      <c r="N33" s="190"/>
      <c r="O33" s="190"/>
      <c r="P33" s="190"/>
      <c r="Q33" s="190"/>
      <c r="R33" s="190"/>
      <c r="S33" s="190"/>
      <c r="T33" s="190"/>
      <c r="U33" s="190"/>
      <c r="V33" s="190"/>
      <c r="W33" s="190"/>
      <c r="X33" s="190"/>
      <c r="Y33" s="190"/>
      <c r="Z33" s="190"/>
    </row>
    <row r="34">
      <c r="A34" s="555" t="s">
        <v>665</v>
      </c>
      <c r="B34" s="563" t="s">
        <v>666</v>
      </c>
      <c r="C34" s="557" t="str">
        <f>IFERROR(__xludf.DUMMYFUNCTION("IF(
    ISERROR(
        FILTER(
            'Product Features'!$C:$C,
            'Product Features'!$C:$C = B34,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34" s="558" t="str">
        <f t="array" ref="D34">INDEX('Product Features'!$N$1:$P$1, , MIN(3, MATCH($B$6, {-9E+99, INDEX('Product Features'!$N:$P, MATCH(B34, 'Product Features'!$C:$C, 0), 0) * 1}, 1)))</f>
        <v>TRL 3</v>
      </c>
      <c r="E34" s="190"/>
      <c r="F34" s="555" t="s">
        <v>665</v>
      </c>
      <c r="G34" s="563" t="s">
        <v>666</v>
      </c>
      <c r="H34" s="559">
        <f t="array" ref="H34">INDEX('Product Features'!$M:$M, MATCH(G34, 'Product Features'!$C:$C, 0))</f>
        <v>46113</v>
      </c>
      <c r="I34" s="560">
        <f t="array" ref="I34">INDEX(
    INDEX('Product Features'!$N:$P, MATCH(G34, 'Product Features'!$C:$C, 0), 0),
    MATCH($G$6, 'Product Features'!$N$1:$P$1, 0)
)</f>
        <v>46296</v>
      </c>
      <c r="J34" s="190"/>
      <c r="K34" s="190"/>
      <c r="L34" s="190"/>
      <c r="M34" s="190"/>
      <c r="N34" s="190"/>
      <c r="O34" s="190"/>
      <c r="P34" s="190"/>
      <c r="Q34" s="190"/>
      <c r="R34" s="190"/>
      <c r="S34" s="190"/>
      <c r="T34" s="190"/>
      <c r="U34" s="190"/>
      <c r="V34" s="190"/>
      <c r="W34" s="190"/>
      <c r="X34" s="190"/>
      <c r="Y34" s="190"/>
      <c r="Z34" s="190"/>
    </row>
    <row r="35">
      <c r="A35" s="555" t="s">
        <v>669</v>
      </c>
      <c r="B35" s="563" t="s">
        <v>670</v>
      </c>
      <c r="C35" s="557" t="str">
        <f>IFERROR(__xludf.DUMMYFUNCTION("IF(
    ISERROR(
        FILTER(
            'Product Features'!$C:$C,
            'Product Features'!$C:$C = B35,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)"),"NO")</f>
        <v>NO</v>
      </c>
      <c r="D35" s="558" t="str">
        <f t="array" ref="D35">INDEX('Product Features'!$N$1:$P$1, , MIN(3, MATCH($B$6, {-9E+99, INDEX('Product Features'!$N:$P, MATCH(B35, 'Product Features'!$C:$C, 0), 0) * 1}, 1)))</f>
        <v>TRL 9</v>
      </c>
      <c r="E35" s="190"/>
      <c r="F35" s="555" t="s">
        <v>669</v>
      </c>
      <c r="G35" s="563" t="s">
        <v>670</v>
      </c>
      <c r="H35" s="559" t="str">
        <f t="array" ref="H35">INDEX('Product Features'!$M:$M, MATCH(G35, 'Product Features'!$C:$C, 0))</f>
        <v/>
      </c>
      <c r="I35" s="560" t="str">
        <f t="array" ref="I35">INDEX(
    INDEX('Product Features'!$N:$P, MATCH(G35, 'Product Features'!$C:$C, 0), 0),
    MATCH($G$6, 'Product Features'!$N$1:$P$1, 0)
)</f>
        <v/>
      </c>
      <c r="J35" s="190"/>
      <c r="K35" s="190"/>
      <c r="L35" s="190"/>
      <c r="M35" s="190"/>
      <c r="N35" s="190"/>
      <c r="O35" s="190"/>
      <c r="P35" s="190"/>
      <c r="Q35" s="190"/>
      <c r="R35" s="190"/>
      <c r="S35" s="190"/>
      <c r="T35" s="190"/>
      <c r="U35" s="190"/>
      <c r="V35" s="190"/>
      <c r="W35" s="190"/>
      <c r="X35" s="190"/>
      <c r="Y35" s="190"/>
      <c r="Z35" s="190"/>
    </row>
    <row r="36">
      <c r="A36" s="555" t="s">
        <v>672</v>
      </c>
      <c r="B36" s="563" t="s">
        <v>673</v>
      </c>
      <c r="C36" s="557" t="str">
        <f>IFERROR(__xludf.DUMMYFUNCTION("IF(
    ISERROR(
        FILTER(
            'Product Features'!$C:$C,
            'Product Features'!$C:$C = B36,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)"),"NO")</f>
        <v>NO</v>
      </c>
      <c r="D36" s="558" t="str">
        <f t="array" ref="D36">INDEX('Product Features'!$N$1:$P$1, , MIN(3, MATCH($B$6, {-9E+99, INDEX('Product Features'!$N:$P, MATCH(B36, 'Product Features'!$C:$C, 0), 0) * 1}, 1)))</f>
        <v>TRL 9</v>
      </c>
      <c r="E36" s="190"/>
      <c r="F36" s="555" t="s">
        <v>672</v>
      </c>
      <c r="G36" s="563" t="s">
        <v>673</v>
      </c>
      <c r="H36" s="559" t="str">
        <f t="array" ref="H36">INDEX('Product Features'!$M:$M, MATCH(G36, 'Product Features'!$C:$C, 0))</f>
        <v/>
      </c>
      <c r="I36" s="560" t="str">
        <f t="array" ref="I36">INDEX(
    INDEX('Product Features'!$N:$P, MATCH(G36, 'Product Features'!$C:$C, 0), 0),
    MATCH($G$6, 'Product Features'!$N$1:$P$1, 0)
)</f>
        <v/>
      </c>
      <c r="J36" s="190"/>
      <c r="K36" s="190"/>
      <c r="L36" s="190"/>
      <c r="M36" s="190"/>
      <c r="N36" s="190"/>
      <c r="O36" s="190"/>
      <c r="P36" s="190"/>
      <c r="Q36" s="190"/>
      <c r="R36" s="190"/>
      <c r="S36" s="190"/>
      <c r="T36" s="190"/>
      <c r="U36" s="190"/>
      <c r="V36" s="190"/>
      <c r="W36" s="190"/>
      <c r="X36" s="190"/>
      <c r="Y36" s="190"/>
      <c r="Z36" s="190"/>
    </row>
    <row r="37">
      <c r="A37" s="555" t="s">
        <v>675</v>
      </c>
      <c r="B37" s="563" t="s">
        <v>676</v>
      </c>
      <c r="C37" s="557" t="str">
        <f>IFERROR(__xludf.DUMMYFUNCTION("IF(
    ISERROR(
        FILTER(
            'Product Features'!$C:$C,
            'Product Features'!$C:$C = B37,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)"),"NO")</f>
        <v>NO</v>
      </c>
      <c r="D37" s="558" t="str">
        <f t="array" ref="D37">INDEX('Product Features'!$N$1:$P$1, , MIN(3, MATCH($B$6, {-9E+99, INDEX('Product Features'!$N:$P, MATCH(B37, 'Product Features'!$C:$C, 0), 0) * 1}, 1)))</f>
        <v>TRL 9</v>
      </c>
      <c r="E37" s="190"/>
      <c r="F37" s="555" t="s">
        <v>675</v>
      </c>
      <c r="G37" s="563" t="s">
        <v>676</v>
      </c>
      <c r="H37" s="559" t="str">
        <f t="array" ref="H37">INDEX('Product Features'!$M:$M, MATCH(G37, 'Product Features'!$C:$C, 0))</f>
        <v/>
      </c>
      <c r="I37" s="560" t="str">
        <f t="array" ref="I37">INDEX(
    INDEX('Product Features'!$N:$P, MATCH(G37, 'Product Features'!$C:$C, 0), 0),
    MATCH($G$6, 'Product Features'!$N$1:$P$1, 0)
)</f>
        <v/>
      </c>
      <c r="J37" s="190"/>
      <c r="K37" s="190"/>
      <c r="L37" s="190"/>
      <c r="M37" s="190"/>
      <c r="N37" s="190"/>
      <c r="O37" s="190"/>
      <c r="P37" s="190"/>
      <c r="Q37" s="190"/>
      <c r="R37" s="190"/>
      <c r="S37" s="190"/>
      <c r="T37" s="190"/>
      <c r="U37" s="190"/>
      <c r="V37" s="190"/>
      <c r="W37" s="190"/>
      <c r="X37" s="190"/>
      <c r="Y37" s="190"/>
      <c r="Z37" s="190"/>
    </row>
    <row r="38">
      <c r="A38" s="555" t="s">
        <v>678</v>
      </c>
      <c r="B38" s="563" t="s">
        <v>679</v>
      </c>
      <c r="C38" s="557" t="str">
        <f>IFERROR(__xludf.DUMMYFUNCTION("IF(
    ISERROR(
        FILTER(
            'Product Features'!$C:$C,
            'Product Features'!$C:$C = B38,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)"),"NO")</f>
        <v>NO</v>
      </c>
      <c r="D38" s="558" t="str">
        <f t="array" ref="D38">INDEX('Product Features'!$N$1:$P$1, , MIN(3, MATCH($B$6, {-9E+99, INDEX('Product Features'!$N:$P, MATCH(B38, 'Product Features'!$C:$C, 0), 0) * 1}, 1)))</f>
        <v>TRL 9</v>
      </c>
      <c r="E38" s="190"/>
      <c r="F38" s="555" t="s">
        <v>678</v>
      </c>
      <c r="G38" s="563" t="s">
        <v>679</v>
      </c>
      <c r="H38" s="559" t="str">
        <f t="array" ref="H38">INDEX('Product Features'!$M:$M, MATCH(G38, 'Product Features'!$C:$C, 0))</f>
        <v/>
      </c>
      <c r="I38" s="560" t="str">
        <f t="array" ref="I38">INDEX(
    INDEX('Product Features'!$N:$P, MATCH(G38, 'Product Features'!$C:$C, 0), 0),
    MATCH($G$6, 'Product Features'!$N$1:$P$1, 0)
)</f>
        <v/>
      </c>
      <c r="J38" s="190"/>
      <c r="K38" s="190"/>
      <c r="L38" s="190"/>
      <c r="M38" s="190"/>
      <c r="N38" s="190"/>
      <c r="O38" s="190"/>
      <c r="P38" s="190"/>
      <c r="Q38" s="190"/>
      <c r="R38" s="190"/>
      <c r="S38" s="190"/>
      <c r="T38" s="190"/>
      <c r="U38" s="190"/>
      <c r="V38" s="190"/>
      <c r="W38" s="190"/>
      <c r="X38" s="190"/>
      <c r="Y38" s="190"/>
      <c r="Z38" s="190"/>
    </row>
    <row r="39">
      <c r="A39" s="555" t="s">
        <v>681</v>
      </c>
      <c r="B39" s="563" t="s">
        <v>682</v>
      </c>
      <c r="C39" s="557" t="str">
        <f>IFERROR(__xludf.DUMMYFUNCTION("IF(
    ISERROR(
        FILTER(
            'Product Features'!$C:$C,
            'Product Features'!$C:$C = B39,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)"),"NO")</f>
        <v>NO</v>
      </c>
      <c r="D39" s="558" t="str">
        <f t="array" ref="D39">INDEX('Product Features'!$N$1:$P$1, , MIN(3, MATCH($B$6, {-9E+99, INDEX('Product Features'!$N:$P, MATCH(B39, 'Product Features'!$C:$C, 0), 0) * 1}, 1)))</f>
        <v>TRL 9</v>
      </c>
      <c r="E39" s="190"/>
      <c r="F39" s="555" t="s">
        <v>681</v>
      </c>
      <c r="G39" s="563" t="s">
        <v>682</v>
      </c>
      <c r="H39" s="559" t="str">
        <f t="array" ref="H39">INDEX('Product Features'!$M:$M, MATCH(G39, 'Product Features'!$C:$C, 0))</f>
        <v/>
      </c>
      <c r="I39" s="560" t="str">
        <f t="array" ref="I39">INDEX(
    INDEX('Product Features'!$N:$P, MATCH(G39, 'Product Features'!$C:$C, 0), 0),
    MATCH($G$6, 'Product Features'!$N$1:$P$1, 0)
)</f>
        <v/>
      </c>
      <c r="J39" s="190"/>
      <c r="K39" s="190"/>
      <c r="L39" s="190"/>
      <c r="M39" s="190"/>
      <c r="N39" s="190"/>
      <c r="O39" s="190"/>
      <c r="P39" s="190"/>
      <c r="Q39" s="190"/>
      <c r="R39" s="190"/>
      <c r="S39" s="190"/>
      <c r="T39" s="190"/>
      <c r="U39" s="190"/>
      <c r="V39" s="190"/>
      <c r="W39" s="190"/>
      <c r="X39" s="190"/>
      <c r="Y39" s="190"/>
      <c r="Z39" s="190"/>
    </row>
    <row r="40">
      <c r="A40" s="555" t="s">
        <v>683</v>
      </c>
      <c r="B40" s="563" t="s">
        <v>684</v>
      </c>
      <c r="C40" s="557"/>
      <c r="D40" s="558"/>
      <c r="E40" s="190"/>
      <c r="F40" s="555" t="s">
        <v>683</v>
      </c>
      <c r="G40" s="563" t="s">
        <v>684</v>
      </c>
      <c r="H40" s="564"/>
      <c r="I40" s="560"/>
      <c r="J40" s="190"/>
      <c r="K40" s="190"/>
      <c r="L40" s="190"/>
      <c r="M40" s="190"/>
      <c r="N40" s="190"/>
      <c r="O40" s="190"/>
      <c r="P40" s="190"/>
      <c r="Q40" s="190"/>
      <c r="R40" s="190"/>
      <c r="S40" s="190"/>
      <c r="T40" s="190"/>
      <c r="U40" s="190"/>
      <c r="V40" s="190"/>
      <c r="W40" s="190"/>
      <c r="X40" s="190"/>
      <c r="Y40" s="190"/>
      <c r="Z40" s="190"/>
    </row>
    <row r="41">
      <c r="A41" s="555"/>
      <c r="B41" s="563"/>
      <c r="C41" s="557" t="str">
        <f>IFERROR(__xludf.DUMMYFUNCTION("IF(
    ISERROR(
        FILTER(
            'Product Features'!$C:$C,
            'Product Features'!$C:$C = B41,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41" s="558" t="str">
        <f t="array" ref="D41">INDEX('Product Features'!$N$1:$P$1, , MIN(3, MATCH($B$6, {-9E+99, INDEX('Product Features'!$N:$P, MATCH(B41, 'Product Features'!$C:$C, 0), 0) * 1}, 1)))</f>
        <v>TRL 3</v>
      </c>
      <c r="E41" s="190"/>
      <c r="F41" s="555"/>
      <c r="G41" s="563"/>
      <c r="H41" s="564" t="str">
        <f t="array" ref="H41">INDEX('Product Features'!$M:$M, MATCH(G41, 'Product Features'!$C:$C, 0))</f>
        <v>#N/A</v>
      </c>
      <c r="I41" s="560" t="str">
        <f t="array" ref="I41">INDEX(
    INDEX('Product Features'!$N:$P, MATCH(G41, 'Product Features'!$C:$C, 0), 0),
    MATCH($G$6, 'Product Features'!$N$1:$P$1, 0)
)</f>
        <v>#N/A</v>
      </c>
      <c r="J41" s="190"/>
      <c r="K41" s="190"/>
      <c r="L41" s="190"/>
      <c r="M41" s="190"/>
      <c r="N41" s="190"/>
      <c r="O41" s="190"/>
      <c r="P41" s="190"/>
      <c r="Q41" s="190"/>
      <c r="R41" s="190"/>
      <c r="S41" s="190"/>
      <c r="T41" s="190"/>
      <c r="U41" s="190"/>
      <c r="V41" s="190"/>
      <c r="W41" s="190"/>
      <c r="X41" s="190"/>
      <c r="Y41" s="190"/>
      <c r="Z41" s="190"/>
    </row>
    <row r="42">
      <c r="A42" s="555" t="s">
        <v>686</v>
      </c>
      <c r="B42" s="563" t="s">
        <v>687</v>
      </c>
      <c r="C42" s="557" t="str">
        <f>IFERROR(__xludf.DUMMYFUNCTION("IF(
    ISERROR(
        FILTER(
            'Product Features'!$C:$C,
            'Product Features'!$C:$C = B42,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)"),"NO")</f>
        <v>NO</v>
      </c>
      <c r="D42" s="558" t="str">
        <f t="array" ref="D42">INDEX('Product Features'!$N$1:$P$1, , MIN(3, MATCH($B$6, {-9E+99, INDEX('Product Features'!$N:$P, MATCH(B42, 'Product Features'!$C:$C, 0), 0) * 1}, 1)))</f>
        <v>TRL 6</v>
      </c>
      <c r="E42" s="190"/>
      <c r="F42" s="555" t="s">
        <v>686</v>
      </c>
      <c r="G42" s="563" t="s">
        <v>687</v>
      </c>
      <c r="H42" s="559">
        <f t="array" ref="H42">INDEX('Product Features'!$M:$M, MATCH(G42, 'Product Features'!$C:$C, 0))</f>
        <v>45901</v>
      </c>
      <c r="I42" s="560">
        <f t="array" ref="I42">INDEX(
    INDEX('Product Features'!$N:$P, MATCH(G42, 'Product Features'!$C:$C, 0), 0),
    MATCH($G$6, 'Product Features'!$N$1:$P$1, 0)
)</f>
        <v>46204</v>
      </c>
      <c r="J42" s="190"/>
      <c r="K42" s="190"/>
      <c r="L42" s="190"/>
      <c r="M42" s="190"/>
      <c r="N42" s="190"/>
      <c r="O42" s="190"/>
      <c r="P42" s="190"/>
      <c r="Q42" s="190"/>
      <c r="R42" s="190"/>
      <c r="S42" s="190"/>
      <c r="T42" s="190"/>
      <c r="U42" s="190"/>
      <c r="V42" s="190"/>
      <c r="W42" s="190"/>
      <c r="X42" s="190"/>
      <c r="Y42" s="190"/>
      <c r="Z42" s="190"/>
    </row>
    <row r="43">
      <c r="A43" s="555" t="s">
        <v>690</v>
      </c>
      <c r="B43" s="563" t="s">
        <v>691</v>
      </c>
      <c r="C43" s="557" t="str">
        <f>IFERROR(__xludf.DUMMYFUNCTION("IF(
    ISERROR(
        FILTER(
            'Product Features'!$C:$C,
            'Product Features'!$C:$C = B43,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)"),"NO")</f>
        <v>NO</v>
      </c>
      <c r="D43" s="558" t="str">
        <f t="array" ref="D43">INDEX('Product Features'!$N$1:$P$1, , MIN(3, MATCH($B$6, {-9E+99, INDEX('Product Features'!$N:$P, MATCH(B43, 'Product Features'!$C:$C, 0), 0) * 1}, 1)))</f>
        <v>TRL 9</v>
      </c>
      <c r="E43" s="190"/>
      <c r="F43" s="555" t="s">
        <v>690</v>
      </c>
      <c r="G43" s="563" t="s">
        <v>691</v>
      </c>
      <c r="H43" s="559" t="str">
        <f t="array" ref="H43">INDEX('Product Features'!$M:$M, MATCH(G43, 'Product Features'!$C:$C, 0))</f>
        <v/>
      </c>
      <c r="I43" s="560" t="str">
        <f t="array" ref="I43">INDEX(
    INDEX('Product Features'!$N:$P, MATCH(G43, 'Product Features'!$C:$C, 0), 0),
    MATCH($G$6, 'Product Features'!$N$1:$P$1, 0)
)</f>
        <v/>
      </c>
      <c r="J43" s="190"/>
      <c r="K43" s="190"/>
      <c r="L43" s="190"/>
      <c r="M43" s="190"/>
      <c r="N43" s="190"/>
      <c r="O43" s="190"/>
      <c r="P43" s="190"/>
      <c r="Q43" s="190"/>
      <c r="R43" s="190"/>
      <c r="S43" s="190"/>
      <c r="T43" s="190"/>
      <c r="U43" s="190"/>
      <c r="V43" s="190"/>
      <c r="W43" s="190"/>
      <c r="X43" s="190"/>
      <c r="Y43" s="190"/>
      <c r="Z43" s="190"/>
    </row>
    <row r="44">
      <c r="A44" s="555" t="s">
        <v>695</v>
      </c>
      <c r="B44" s="563" t="s">
        <v>696</v>
      </c>
      <c r="C44" s="557" t="str">
        <f>IFERROR(__xludf.DUMMYFUNCTION("IF(
    ISERROR(
        FILTER(
            'Product Features'!$C:$C,
            'Product Features'!$C:$C = B44,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44" s="558" t="str">
        <f t="array" ref="D44">INDEX('Product Features'!$N$1:$P$1, , MIN(3, MATCH($B$6, {-9E+99, INDEX('Product Features'!$N:$P, MATCH(B44, 'Product Features'!$C:$C, 0), 0) * 1}, 1)))</f>
        <v>TRL 6</v>
      </c>
      <c r="E44" s="190"/>
      <c r="F44" s="555" t="s">
        <v>695</v>
      </c>
      <c r="G44" s="563" t="s">
        <v>696</v>
      </c>
      <c r="H44" s="559">
        <f t="array" ref="H44">INDEX('Product Features'!$M:$M, MATCH(G44, 'Product Features'!$C:$C, 0))</f>
        <v>46023</v>
      </c>
      <c r="I44" s="560">
        <f t="array" ref="I44">INDEX(
    INDEX('Product Features'!$N:$P, MATCH(G44, 'Product Features'!$C:$C, 0), 0),
    MATCH($G$6, 'Product Features'!$N$1:$P$1, 0)
)</f>
        <v>46204</v>
      </c>
      <c r="J44" s="190"/>
      <c r="K44" s="190"/>
      <c r="L44" s="190"/>
      <c r="M44" s="190"/>
      <c r="N44" s="190"/>
      <c r="O44" s="190"/>
      <c r="P44" s="190"/>
      <c r="Q44" s="190"/>
      <c r="R44" s="190"/>
      <c r="S44" s="190"/>
      <c r="T44" s="190"/>
      <c r="U44" s="190"/>
      <c r="V44" s="190"/>
      <c r="W44" s="190"/>
      <c r="X44" s="190"/>
      <c r="Y44" s="190"/>
      <c r="Z44" s="190"/>
    </row>
    <row r="45">
      <c r="A45" s="555" t="s">
        <v>699</v>
      </c>
      <c r="B45" s="563" t="s">
        <v>700</v>
      </c>
      <c r="C45" s="557" t="str">
        <f>IFERROR(__xludf.DUMMYFUNCTION("IF(
    ISERROR(
        FILTER(
            'Product Features'!$C:$C,
            'Product Features'!$C:$C = B45,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45" s="558" t="str">
        <f t="array" ref="D45">INDEX('Product Features'!$N$1:$P$1, , MIN(3, MATCH($B$6, {-9E+99, INDEX('Product Features'!$N:$P, MATCH(B45, 'Product Features'!$C:$C, 0), 0) * 1}, 1)))</f>
        <v>TRL 9</v>
      </c>
      <c r="E45" s="190"/>
      <c r="F45" s="555" t="s">
        <v>699</v>
      </c>
      <c r="G45" s="563" t="s">
        <v>700</v>
      </c>
      <c r="H45" s="559">
        <f t="array" ref="H45">INDEX('Product Features'!$M:$M, MATCH(G45, 'Product Features'!$C:$C, 0))</f>
        <v>46023</v>
      </c>
      <c r="I45" s="560">
        <f t="array" ref="I45">INDEX(
    INDEX('Product Features'!$N:$P, MATCH(G45, 'Product Features'!$C:$C, 0), 0),
    MATCH($G$6, 'Product Features'!$N$1:$P$1, 0)
)</f>
        <v>46023</v>
      </c>
      <c r="J45" s="190"/>
      <c r="K45" s="190"/>
      <c r="L45" s="190"/>
      <c r="M45" s="190"/>
      <c r="N45" s="190"/>
      <c r="O45" s="190"/>
      <c r="P45" s="190"/>
      <c r="Q45" s="190"/>
      <c r="R45" s="190"/>
      <c r="S45" s="190"/>
      <c r="T45" s="190"/>
      <c r="U45" s="190"/>
      <c r="V45" s="190"/>
      <c r="W45" s="190"/>
      <c r="X45" s="190"/>
      <c r="Y45" s="190"/>
      <c r="Z45" s="190"/>
    </row>
    <row r="46">
      <c r="A46" s="555" t="s">
        <v>703</v>
      </c>
      <c r="B46" s="563" t="s">
        <v>704</v>
      </c>
      <c r="C46" s="557" t="str">
        <f>IFERROR(__xludf.DUMMYFUNCTION("IF(
    ISERROR(
        FILTER(
            'Product Features'!$C:$C,
            'Product Features'!$C:$C = B46,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46" s="558" t="str">
        <f t="array" ref="D46">INDEX('Product Features'!$N$1:$P$1, , MIN(3, MATCH($B$6, {-9E+99, INDEX('Product Features'!$N:$P, MATCH(B46, 'Product Features'!$C:$C, 0), 0) * 1}, 1)))</f>
        <v>TRL 9</v>
      </c>
      <c r="E46" s="190"/>
      <c r="F46" s="555" t="s">
        <v>703</v>
      </c>
      <c r="G46" s="563" t="s">
        <v>704</v>
      </c>
      <c r="H46" s="559" t="str">
        <f t="array" ref="H46">INDEX('Product Features'!$M:$M, MATCH(G46, 'Product Features'!$C:$C, 0))</f>
        <v/>
      </c>
      <c r="I46" s="560" t="str">
        <f t="array" ref="I46">INDEX(
    INDEX('Product Features'!$N:$P, MATCH(G46, 'Product Features'!$C:$C, 0), 0),
    MATCH($G$6, 'Product Features'!$N$1:$P$1, 0)
)</f>
        <v/>
      </c>
      <c r="J46" s="190"/>
      <c r="K46" s="190"/>
      <c r="L46" s="190"/>
      <c r="M46" s="190"/>
      <c r="N46" s="190"/>
      <c r="O46" s="190"/>
      <c r="P46" s="190"/>
      <c r="Q46" s="190"/>
      <c r="R46" s="190"/>
      <c r="S46" s="190"/>
      <c r="T46" s="190"/>
      <c r="U46" s="190"/>
      <c r="V46" s="190"/>
      <c r="W46" s="190"/>
      <c r="X46" s="190"/>
      <c r="Y46" s="190"/>
      <c r="Z46" s="190"/>
    </row>
    <row r="47">
      <c r="A47" s="555" t="s">
        <v>706</v>
      </c>
      <c r="B47" s="563" t="s">
        <v>707</v>
      </c>
      <c r="C47" s="557" t="str">
        <f>IFERROR(__xludf.DUMMYFUNCTION("IF(
    ISERROR(
        FILTER(
            'Product Features'!$C:$C,
            'Product Features'!$C:$C = B47,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47" s="558" t="str">
        <f t="array" ref="D47">INDEX('Product Features'!$N$1:$P$1, , MIN(3, MATCH($B$6, {-9E+99, INDEX('Product Features'!$N:$P, MATCH(B47, 'Product Features'!$C:$C, 0), 0) * 1}, 1)))</f>
        <v>TRL 6</v>
      </c>
      <c r="E47" s="190"/>
      <c r="F47" s="555" t="s">
        <v>706</v>
      </c>
      <c r="G47" s="563" t="s">
        <v>707</v>
      </c>
      <c r="H47" s="559">
        <f t="array" ref="H47">INDEX('Product Features'!$M:$M, MATCH(G47, 'Product Features'!$C:$C, 0))</f>
        <v>45901</v>
      </c>
      <c r="I47" s="560">
        <f t="array" ref="I47">INDEX(
    INDEX('Product Features'!$N:$P, MATCH(G47, 'Product Features'!$C:$C, 0), 0),
    MATCH($G$6, 'Product Features'!$N$1:$P$1, 0)
)</f>
        <v>46204</v>
      </c>
      <c r="J47" s="190"/>
      <c r="K47" s="190"/>
      <c r="L47" s="190"/>
      <c r="M47" s="190"/>
      <c r="N47" s="190"/>
      <c r="O47" s="190"/>
      <c r="P47" s="190"/>
      <c r="Q47" s="190"/>
      <c r="R47" s="190"/>
      <c r="S47" s="190"/>
      <c r="T47" s="190"/>
      <c r="U47" s="190"/>
      <c r="V47" s="190"/>
      <c r="W47" s="190"/>
      <c r="X47" s="190"/>
      <c r="Y47" s="190"/>
      <c r="Z47" s="190"/>
    </row>
    <row r="48">
      <c r="A48" s="555" t="s">
        <v>710</v>
      </c>
      <c r="B48" s="563" t="s">
        <v>711</v>
      </c>
      <c r="C48" s="557" t="str">
        <f>IFERROR(__xludf.DUMMYFUNCTION("IF(
    ISERROR(
        FILTER(
            'Product Features'!$C:$C,
            'Product Features'!$C:$C = B48,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)"),"NO")</f>
        <v>NO</v>
      </c>
      <c r="D48" s="558" t="str">
        <f t="array" ref="D48">INDEX('Product Features'!$N$1:$P$1, , MIN(3, MATCH($B$6, {-9E+99, INDEX('Product Features'!$N:$P, MATCH(B48, 'Product Features'!$C:$C, 0), 0) * 1}, 1)))</f>
        <v>TRL 9</v>
      </c>
      <c r="E48" s="190"/>
      <c r="F48" s="555" t="s">
        <v>710</v>
      </c>
      <c r="G48" s="563" t="s">
        <v>711</v>
      </c>
      <c r="H48" s="559" t="str">
        <f t="array" ref="H48">INDEX('Product Features'!$M:$M, MATCH(G48, 'Product Features'!$C:$C, 0))</f>
        <v/>
      </c>
      <c r="I48" s="560" t="str">
        <f t="array" ref="I48">INDEX(
    INDEX('Product Features'!$N:$P, MATCH(G48, 'Product Features'!$C:$C, 0), 0),
    MATCH($G$6, 'Product Features'!$N$1:$P$1, 0)
)</f>
        <v/>
      </c>
      <c r="J48" s="190"/>
      <c r="K48" s="190"/>
      <c r="L48" s="190"/>
      <c r="M48" s="190"/>
      <c r="N48" s="190"/>
      <c r="O48" s="190"/>
      <c r="P48" s="190"/>
      <c r="Q48" s="190"/>
      <c r="R48" s="190"/>
      <c r="S48" s="190"/>
      <c r="T48" s="190"/>
      <c r="U48" s="190"/>
      <c r="V48" s="190"/>
      <c r="W48" s="190"/>
      <c r="X48" s="190"/>
      <c r="Y48" s="190"/>
      <c r="Z48" s="190"/>
    </row>
    <row r="49">
      <c r="A49" s="555" t="s">
        <v>712</v>
      </c>
      <c r="B49" s="563" t="s">
        <v>713</v>
      </c>
      <c r="C49" s="557" t="str">
        <f>IFERROR(__xludf.DUMMYFUNCTION("IF(
    ISERROR(
        FILTER(
            'Product Features'!$C:$C,
            'Product Features'!$C:$C = B49,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49" s="558" t="str">
        <f t="array" ref="D49">INDEX('Product Features'!$N$1:$P$1, , MIN(3, MATCH($B$6, {-9E+99, INDEX('Product Features'!$N:$P, MATCH(B49, 'Product Features'!$C:$C, 0), 0) * 1}, 1)))</f>
        <v>TRL 9</v>
      </c>
      <c r="E49" s="190"/>
      <c r="F49" s="555" t="s">
        <v>712</v>
      </c>
      <c r="G49" s="563" t="s">
        <v>713</v>
      </c>
      <c r="H49" s="559" t="str">
        <f t="array" ref="H49">INDEX('Product Features'!$M:$M, MATCH(G49, 'Product Features'!$C:$C, 0))</f>
        <v/>
      </c>
      <c r="I49" s="560" t="str">
        <f t="array" ref="I49">INDEX(
    INDEX('Product Features'!$N:$P, MATCH(G49, 'Product Features'!$C:$C, 0), 0),
    MATCH($G$6, 'Product Features'!$N$1:$P$1, 0)
)</f>
        <v/>
      </c>
      <c r="J49" s="190"/>
      <c r="K49" s="190"/>
      <c r="L49" s="190"/>
      <c r="M49" s="190"/>
      <c r="N49" s="190"/>
      <c r="O49" s="190"/>
      <c r="P49" s="190"/>
      <c r="Q49" s="190"/>
      <c r="R49" s="190"/>
      <c r="S49" s="190"/>
      <c r="T49" s="190"/>
      <c r="U49" s="190"/>
      <c r="V49" s="190"/>
      <c r="W49" s="190"/>
      <c r="X49" s="190"/>
      <c r="Y49" s="190"/>
      <c r="Z49" s="190"/>
    </row>
    <row r="50">
      <c r="A50" s="555" t="s">
        <v>715</v>
      </c>
      <c r="B50" s="563" t="s">
        <v>716</v>
      </c>
      <c r="C50" s="557" t="str">
        <f>IFERROR(__xludf.DUMMYFUNCTION("IF(
    ISERROR(
        FILTER(
            'Product Features'!$C:$C,
            'Product Features'!$C:$C = B50,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50" s="558" t="str">
        <f t="array" ref="D50">INDEX('Product Features'!$N$1:$P$1, , MIN(3, MATCH($B$6, {-9E+99, INDEX('Product Features'!$N:$P, MATCH(B50, 'Product Features'!$C:$C, 0), 0) * 1}, 1)))</f>
        <v>TRL 6</v>
      </c>
      <c r="E50" s="190"/>
      <c r="F50" s="555" t="s">
        <v>715</v>
      </c>
      <c r="G50" s="563" t="s">
        <v>716</v>
      </c>
      <c r="H50" s="559">
        <f t="array" ref="H50">INDEX('Product Features'!$M:$M, MATCH(G50, 'Product Features'!$C:$C, 0))</f>
        <v>45901</v>
      </c>
      <c r="I50" s="560">
        <f t="array" ref="I50">INDEX(
    INDEX('Product Features'!$N:$P, MATCH(G50, 'Product Features'!$C:$C, 0), 0),
    MATCH($G$6, 'Product Features'!$N$1:$P$1, 0)
)</f>
        <v>46204</v>
      </c>
      <c r="J50" s="190"/>
      <c r="K50" s="190"/>
      <c r="L50" s="190"/>
      <c r="M50" s="190"/>
      <c r="N50" s="190"/>
      <c r="O50" s="190"/>
      <c r="P50" s="190"/>
      <c r="Q50" s="190"/>
      <c r="R50" s="190"/>
      <c r="S50" s="190"/>
      <c r="T50" s="190"/>
      <c r="U50" s="190"/>
      <c r="V50" s="190"/>
      <c r="W50" s="190"/>
      <c r="X50" s="190"/>
      <c r="Y50" s="190"/>
      <c r="Z50" s="190"/>
    </row>
    <row r="51">
      <c r="A51" s="555" t="s">
        <v>718</v>
      </c>
      <c r="B51" s="563" t="s">
        <v>719</v>
      </c>
      <c r="C51" s="557" t="str">
        <f>IFERROR(__xludf.DUMMYFUNCTION("IF(
    ISERROR(
        FILTER(
            'Product Features'!$C:$C,
            'Product Features'!$C:$C = B51,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51" s="558" t="str">
        <f t="array" ref="D51">INDEX('Product Features'!$N$1:$P$1, , MIN(3, MATCH($B$6, {-9E+99, INDEX('Product Features'!$N:$P, MATCH(B51, 'Product Features'!$C:$C, 0), 0) * 1}, 1)))</f>
        <v>TRL 6</v>
      </c>
      <c r="E51" s="190"/>
      <c r="F51" s="555" t="s">
        <v>718</v>
      </c>
      <c r="G51" s="563" t="s">
        <v>719</v>
      </c>
      <c r="H51" s="559">
        <f t="array" ref="H51">INDEX('Product Features'!$M:$M, MATCH(G51, 'Product Features'!$C:$C, 0))</f>
        <v>45901</v>
      </c>
      <c r="I51" s="560">
        <f t="array" ref="I51">INDEX(
    INDEX('Product Features'!$N:$P, MATCH(G51, 'Product Features'!$C:$C, 0), 0),
    MATCH($G$6, 'Product Features'!$N$1:$P$1, 0)
)</f>
        <v>46204</v>
      </c>
      <c r="J51" s="190"/>
      <c r="K51" s="190"/>
      <c r="L51" s="190"/>
      <c r="M51" s="190"/>
      <c r="N51" s="190"/>
      <c r="O51" s="190"/>
      <c r="P51" s="190"/>
      <c r="Q51" s="190"/>
      <c r="R51" s="190"/>
      <c r="S51" s="190"/>
      <c r="T51" s="190"/>
      <c r="U51" s="190"/>
      <c r="V51" s="190"/>
      <c r="W51" s="190"/>
      <c r="X51" s="190"/>
      <c r="Y51" s="190"/>
      <c r="Z51" s="190"/>
    </row>
    <row r="52">
      <c r="A52" s="555" t="s">
        <v>720</v>
      </c>
      <c r="B52" s="563" t="s">
        <v>721</v>
      </c>
      <c r="C52" s="557" t="str">
        <f>IFERROR(__xludf.DUMMYFUNCTION("IF(
    ISERROR(
        FILTER(
            'Product Features'!$C:$C,
            'Product Features'!$C:$C = B52,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)"),"NO")</f>
        <v>NO</v>
      </c>
      <c r="D52" s="558" t="str">
        <f t="array" ref="D52">INDEX('Product Features'!$N$1:$P$1, , MIN(3, MATCH($B$6, {-9E+99, INDEX('Product Features'!$N:$P, MATCH(B52, 'Product Features'!$C:$C, 0), 0) * 1}, 1)))</f>
        <v>TRL 6</v>
      </c>
      <c r="E52" s="190"/>
      <c r="F52" s="555" t="s">
        <v>720</v>
      </c>
      <c r="G52" s="563" t="s">
        <v>721</v>
      </c>
      <c r="H52" s="559">
        <f t="array" ref="H52">INDEX('Product Features'!$M:$M, MATCH(G52, 'Product Features'!$C:$C, 0))</f>
        <v>45901</v>
      </c>
      <c r="I52" s="560">
        <f t="array" ref="I52">INDEX(
    INDEX('Product Features'!$N:$P, MATCH(G52, 'Product Features'!$C:$C, 0), 0),
    MATCH($G$6, 'Product Features'!$N$1:$P$1, 0)
)</f>
        <v>46204</v>
      </c>
      <c r="J52" s="190"/>
      <c r="K52" s="190"/>
      <c r="L52" s="190"/>
      <c r="M52" s="190"/>
      <c r="N52" s="190"/>
      <c r="O52" s="190"/>
      <c r="P52" s="190"/>
      <c r="Q52" s="190"/>
      <c r="R52" s="190"/>
      <c r="S52" s="190"/>
      <c r="T52" s="190"/>
      <c r="U52" s="190"/>
      <c r="V52" s="190"/>
      <c r="W52" s="190"/>
      <c r="X52" s="190"/>
      <c r="Y52" s="190"/>
      <c r="Z52" s="190"/>
    </row>
    <row r="53">
      <c r="A53" s="555" t="s">
        <v>722</v>
      </c>
      <c r="B53" s="563" t="s">
        <v>723</v>
      </c>
      <c r="C53" s="557" t="str">
        <f>IFERROR(__xludf.DUMMYFUNCTION("IF(
    ISERROR(
        FILTER(
            'Product Features'!$C:$C,
            'Product Features'!$C:$C = B53,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)"),"NO")</f>
        <v>NO</v>
      </c>
      <c r="D53" s="558" t="str">
        <f t="array" ref="D53">INDEX('Product Features'!$N$1:$P$1, , MIN(3, MATCH($B$6, {-9E+99, INDEX('Product Features'!$N:$P, MATCH(B53, 'Product Features'!$C:$C, 0), 0) * 1}, 1)))</f>
        <v>TRL 9</v>
      </c>
      <c r="E53" s="190"/>
      <c r="F53" s="555" t="s">
        <v>722</v>
      </c>
      <c r="G53" s="563" t="s">
        <v>723</v>
      </c>
      <c r="H53" s="559" t="str">
        <f t="array" ref="H53">INDEX('Product Features'!$M:$M, MATCH(G53, 'Product Features'!$C:$C, 0))</f>
        <v/>
      </c>
      <c r="I53" s="560" t="str">
        <f t="array" ref="I53">INDEX(
    INDEX('Product Features'!$N:$P, MATCH(G53, 'Product Features'!$C:$C, 0), 0),
    MATCH($G$6, 'Product Features'!$N$1:$P$1, 0)
)</f>
        <v/>
      </c>
      <c r="J53" s="190"/>
      <c r="K53" s="190"/>
      <c r="L53" s="190"/>
      <c r="M53" s="190"/>
      <c r="N53" s="190"/>
      <c r="O53" s="190"/>
      <c r="P53" s="190"/>
      <c r="Q53" s="190"/>
      <c r="R53" s="190"/>
      <c r="S53" s="190"/>
      <c r="T53" s="190"/>
      <c r="U53" s="190"/>
      <c r="V53" s="190"/>
      <c r="W53" s="190"/>
      <c r="X53" s="190"/>
      <c r="Y53" s="190"/>
      <c r="Z53" s="190"/>
    </row>
    <row r="54">
      <c r="A54" s="555" t="s">
        <v>725</v>
      </c>
      <c r="B54" s="563" t="s">
        <v>726</v>
      </c>
      <c r="C54" s="557"/>
      <c r="D54" s="558"/>
      <c r="E54" s="190"/>
      <c r="F54" s="555" t="s">
        <v>725</v>
      </c>
      <c r="G54" s="563" t="s">
        <v>726</v>
      </c>
      <c r="H54" s="564"/>
      <c r="I54" s="560"/>
      <c r="J54" s="190"/>
      <c r="K54" s="190"/>
      <c r="L54" s="190"/>
      <c r="M54" s="190"/>
      <c r="N54" s="190"/>
      <c r="O54" s="190"/>
      <c r="P54" s="190"/>
      <c r="Q54" s="190"/>
      <c r="R54" s="190"/>
      <c r="S54" s="190"/>
      <c r="T54" s="190"/>
      <c r="U54" s="190"/>
      <c r="V54" s="190"/>
      <c r="W54" s="190"/>
      <c r="X54" s="190"/>
      <c r="Y54" s="190"/>
      <c r="Z54" s="190"/>
    </row>
    <row r="55">
      <c r="A55" s="555"/>
      <c r="B55" s="563"/>
      <c r="C55" s="557" t="str">
        <f>IFERROR(__xludf.DUMMYFUNCTION("IF(
    ISERROR(
        FILTER(
            'Product Features'!$C:$C,
            'Product Features'!$C:$C = B55,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55" s="558" t="str">
        <f t="array" ref="D55">INDEX('Product Features'!$N$1:$P$1, , MIN(3, MATCH($B$6, {-9E+99, INDEX('Product Features'!$N:$P, MATCH(B55, 'Product Features'!$C:$C, 0), 0) * 1}, 1)))</f>
        <v>TRL 3</v>
      </c>
      <c r="E55" s="190"/>
      <c r="F55" s="555"/>
      <c r="G55" s="563"/>
      <c r="H55" s="564" t="str">
        <f t="array" ref="H55">INDEX('Product Features'!$M:$M, MATCH(G55, 'Product Features'!$C:$C, 0))</f>
        <v>#N/A</v>
      </c>
      <c r="I55" s="560" t="str">
        <f t="array" ref="I55">INDEX(
    INDEX('Product Features'!$N:$P, MATCH(G55, 'Product Features'!$C:$C, 0), 0),
    MATCH($G$6, 'Product Features'!$N$1:$P$1, 0)
)</f>
        <v>#N/A</v>
      </c>
      <c r="J55" s="190"/>
      <c r="K55" s="190"/>
      <c r="L55" s="190"/>
      <c r="M55" s="190"/>
      <c r="N55" s="190"/>
      <c r="O55" s="190"/>
      <c r="P55" s="190"/>
      <c r="Q55" s="190"/>
      <c r="R55" s="190"/>
      <c r="S55" s="190"/>
      <c r="T55" s="190"/>
      <c r="U55" s="190"/>
      <c r="V55" s="190"/>
      <c r="W55" s="190"/>
      <c r="X55" s="190"/>
      <c r="Y55" s="190"/>
      <c r="Z55" s="190"/>
    </row>
    <row r="56">
      <c r="A56" s="555" t="s">
        <v>728</v>
      </c>
      <c r="B56" s="563" t="s">
        <v>729</v>
      </c>
      <c r="C56" s="557" t="str">
        <f>IFERROR(__xludf.DUMMYFUNCTION("IF(
    ISERROR(
        FILTER(
            'Product Features'!$C:$C,
            'Product Features'!$C:$C = B56,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56" s="558" t="str">
        <f t="array" ref="D56">INDEX('Product Features'!$N$1:$P$1, , MIN(3, MATCH($B$6, {-9E+99, INDEX('Product Features'!$N:$P, MATCH(B56, 'Product Features'!$C:$C, 0), 0) * 1}, 1)))</f>
        <v>TRL 9</v>
      </c>
      <c r="E56" s="190"/>
      <c r="F56" s="555" t="s">
        <v>728</v>
      </c>
      <c r="G56" s="563" t="s">
        <v>729</v>
      </c>
      <c r="H56" s="559" t="str">
        <f t="array" ref="H56">INDEX('Product Features'!$M:$M, MATCH(G56, 'Product Features'!$C:$C, 0))</f>
        <v/>
      </c>
      <c r="I56" s="560" t="str">
        <f t="array" ref="I56">INDEX(
    INDEX('Product Features'!$N:$P, MATCH(G56, 'Product Features'!$C:$C, 0), 0),
    MATCH($G$6, 'Product Features'!$N$1:$P$1, 0)
)</f>
        <v/>
      </c>
      <c r="J56" s="190"/>
      <c r="K56" s="190"/>
      <c r="L56" s="190"/>
      <c r="M56" s="190"/>
      <c r="N56" s="190"/>
      <c r="O56" s="190"/>
      <c r="P56" s="190"/>
      <c r="Q56" s="190"/>
      <c r="R56" s="190"/>
      <c r="S56" s="190"/>
      <c r="T56" s="190"/>
      <c r="U56" s="190"/>
      <c r="V56" s="190"/>
      <c r="W56" s="190"/>
      <c r="X56" s="190"/>
      <c r="Y56" s="190"/>
      <c r="Z56" s="190"/>
    </row>
    <row r="57">
      <c r="A57" s="555" t="s">
        <v>730</v>
      </c>
      <c r="B57" s="563" t="s">
        <v>731</v>
      </c>
      <c r="C57" s="557" t="str">
        <f>IFERROR(__xludf.DUMMYFUNCTION("IF(
    ISERROR(
        FILTER(
            'Product Features'!$C:$C,
            'Product Features'!$C:$C = B57,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57" s="558" t="str">
        <f t="array" ref="D57">INDEX('Product Features'!$N$1:$P$1, , MIN(3, MATCH($B$6, {-9E+99, INDEX('Product Features'!$N:$P, MATCH(B57, 'Product Features'!$C:$C, 0), 0) * 1}, 1)))</f>
        <v>TRL 9</v>
      </c>
      <c r="E57" s="190"/>
      <c r="F57" s="555" t="s">
        <v>730</v>
      </c>
      <c r="G57" s="563" t="s">
        <v>731</v>
      </c>
      <c r="H57" s="559" t="str">
        <f t="array" ref="H57">INDEX('Product Features'!$M:$M, MATCH(G57, 'Product Features'!$C:$C, 0))</f>
        <v/>
      </c>
      <c r="I57" s="560" t="str">
        <f t="array" ref="I57">INDEX(
    INDEX('Product Features'!$N:$P, MATCH(G57, 'Product Features'!$C:$C, 0), 0),
    MATCH($G$6, 'Product Features'!$N$1:$P$1, 0)
)</f>
        <v/>
      </c>
      <c r="J57" s="190"/>
      <c r="K57" s="190"/>
      <c r="L57" s="190"/>
      <c r="M57" s="190"/>
      <c r="N57" s="190"/>
      <c r="O57" s="190"/>
      <c r="P57" s="190"/>
      <c r="Q57" s="190"/>
      <c r="R57" s="190"/>
      <c r="S57" s="190"/>
      <c r="T57" s="190"/>
      <c r="U57" s="190"/>
      <c r="V57" s="190"/>
      <c r="W57" s="190"/>
      <c r="X57" s="190"/>
      <c r="Y57" s="190"/>
      <c r="Z57" s="190"/>
    </row>
    <row r="58">
      <c r="A58" s="555" t="s">
        <v>732</v>
      </c>
      <c r="B58" s="563" t="s">
        <v>733</v>
      </c>
      <c r="C58" s="557" t="str">
        <f>IFERROR(__xludf.DUMMYFUNCTION("IF(
    ISERROR(
        FILTER(
            'Product Features'!$C:$C,
            'Product Features'!$C:$C = B58,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58" s="558" t="str">
        <f t="array" ref="D58">INDEX('Product Features'!$N$1:$P$1, , MIN(3, MATCH($B$6, {-9E+99, INDEX('Product Features'!$N:$P, MATCH(B58, 'Product Features'!$C:$C, 0), 0) * 1}, 1)))</f>
        <v>TRL 9</v>
      </c>
      <c r="E58" s="190"/>
      <c r="F58" s="555" t="s">
        <v>732</v>
      </c>
      <c r="G58" s="563" t="s">
        <v>733</v>
      </c>
      <c r="H58" s="559">
        <f t="array" ref="H58">INDEX('Product Features'!$M:$M, MATCH(G58, 'Product Features'!$C:$C, 0))</f>
        <v>45901</v>
      </c>
      <c r="I58" s="560">
        <f t="array" ref="I58">INDEX(
    INDEX('Product Features'!$N:$P, MATCH(G58, 'Product Features'!$C:$C, 0), 0),
    MATCH($G$6, 'Product Features'!$N$1:$P$1, 0)
)</f>
        <v>45962</v>
      </c>
      <c r="J58" s="190"/>
      <c r="K58" s="190"/>
      <c r="L58" s="190"/>
      <c r="M58" s="190"/>
      <c r="N58" s="190"/>
      <c r="O58" s="190"/>
      <c r="P58" s="190"/>
      <c r="Q58" s="190"/>
      <c r="R58" s="190"/>
      <c r="S58" s="190"/>
      <c r="T58" s="190"/>
      <c r="U58" s="190"/>
      <c r="V58" s="190"/>
      <c r="W58" s="190"/>
      <c r="X58" s="190"/>
      <c r="Y58" s="190"/>
      <c r="Z58" s="190"/>
    </row>
    <row r="59">
      <c r="A59" s="555" t="s">
        <v>735</v>
      </c>
      <c r="B59" s="563" t="s">
        <v>736</v>
      </c>
      <c r="C59" s="557" t="str">
        <f>IFERROR(__xludf.DUMMYFUNCTION("IF(
    ISERROR(
        FILTER(
            'Product Features'!$C:$C,
            'Product Features'!$C:$C = B59,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59" s="558" t="str">
        <f t="array" ref="D59">INDEX('Product Features'!$N$1:$P$1, , MIN(3, MATCH($B$6, {-9E+99, INDEX('Product Features'!$N:$P, MATCH(B59, 'Product Features'!$C:$C, 0), 0) * 1}, 1)))</f>
        <v>TRL 9</v>
      </c>
      <c r="E59" s="190"/>
      <c r="F59" s="555" t="s">
        <v>735</v>
      </c>
      <c r="G59" s="563" t="s">
        <v>736</v>
      </c>
      <c r="H59" s="559">
        <f t="array" ref="H59">INDEX('Product Features'!$M:$M, MATCH(G59, 'Product Features'!$C:$C, 0))</f>
        <v>45901</v>
      </c>
      <c r="I59" s="560">
        <f t="array" ref="I59">INDEX(
    INDEX('Product Features'!$N:$P, MATCH(G59, 'Product Features'!$C:$C, 0), 0),
    MATCH($G$6, 'Product Features'!$N$1:$P$1, 0)
)</f>
        <v>45962</v>
      </c>
      <c r="J59" s="190"/>
      <c r="K59" s="190"/>
      <c r="L59" s="190"/>
      <c r="M59" s="190"/>
      <c r="N59" s="190"/>
      <c r="O59" s="190"/>
      <c r="P59" s="190"/>
      <c r="Q59" s="190"/>
      <c r="R59" s="190"/>
      <c r="S59" s="190"/>
      <c r="T59" s="190"/>
      <c r="U59" s="190"/>
      <c r="V59" s="190"/>
      <c r="W59" s="190"/>
      <c r="X59" s="190"/>
      <c r="Y59" s="190"/>
      <c r="Z59" s="190"/>
    </row>
    <row r="60">
      <c r="A60" s="555" t="s">
        <v>738</v>
      </c>
      <c r="B60" s="563" t="s">
        <v>739</v>
      </c>
      <c r="C60" s="557" t="str">
        <f>IFERROR(__xludf.DUMMYFUNCTION("IF(
    ISERROR(
        FILTER(
            'Product Features'!$C:$C,
            'Product Features'!$C:$C = B60,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60" s="558" t="str">
        <f t="array" ref="D60">INDEX('Product Features'!$N$1:$P$1, , MIN(3, MATCH($B$6, {-9E+99, INDEX('Product Features'!$N:$P, MATCH(B60, 'Product Features'!$C:$C, 0), 0) * 1}, 1)))</f>
        <v>TRL 6</v>
      </c>
      <c r="E60" s="190"/>
      <c r="F60" s="555" t="s">
        <v>738</v>
      </c>
      <c r="G60" s="563" t="s">
        <v>739</v>
      </c>
      <c r="H60" s="559">
        <f t="array" ref="H60">INDEX('Product Features'!$M:$M, MATCH(G60, 'Product Features'!$C:$C, 0))</f>
        <v>45901</v>
      </c>
      <c r="I60" s="560">
        <f t="array" ref="I60">INDEX(
    INDEX('Product Features'!$N:$P, MATCH(G60, 'Product Features'!$C:$C, 0), 0),
    MATCH($G$6, 'Product Features'!$N$1:$P$1, 0)
)</f>
        <v>46204</v>
      </c>
      <c r="J60" s="190"/>
      <c r="K60" s="190"/>
      <c r="L60" s="190"/>
      <c r="M60" s="190"/>
      <c r="N60" s="190"/>
      <c r="O60" s="190"/>
      <c r="P60" s="190"/>
      <c r="Q60" s="190"/>
      <c r="R60" s="190"/>
      <c r="S60" s="190"/>
      <c r="T60" s="190"/>
      <c r="U60" s="190"/>
      <c r="V60" s="190"/>
      <c r="W60" s="190"/>
      <c r="X60" s="190"/>
      <c r="Y60" s="190"/>
      <c r="Z60" s="190"/>
    </row>
    <row r="61">
      <c r="A61" s="555" t="s">
        <v>741</v>
      </c>
      <c r="B61" s="563" t="s">
        <v>742</v>
      </c>
      <c r="C61" s="557" t="str">
        <f>IFERROR(__xludf.DUMMYFUNCTION("IF(
    ISERROR(
        FILTER(
            'Product Features'!$C:$C,
            'Product Features'!$C:$C = B61,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61" s="558" t="str">
        <f t="array" ref="D61">INDEX('Product Features'!$N$1:$P$1, , MIN(3, MATCH($B$6, {-9E+99, INDEX('Product Features'!$N:$P, MATCH(B61, 'Product Features'!$C:$C, 0), 0) * 1}, 1)))</f>
        <v>TRL 3</v>
      </c>
      <c r="E61" s="190"/>
      <c r="F61" s="555" t="s">
        <v>741</v>
      </c>
      <c r="G61" s="563" t="s">
        <v>742</v>
      </c>
      <c r="H61" s="559">
        <f t="array" ref="H61">INDEX('Product Features'!$M:$M, MATCH(G61, 'Product Features'!$C:$C, 0))</f>
        <v>45901</v>
      </c>
      <c r="I61" s="560">
        <f t="array" ref="I61">INDEX(
    INDEX('Product Features'!$N:$P, MATCH(G61, 'Product Features'!$C:$C, 0), 0),
    MATCH($G$6, 'Product Features'!$N$1:$P$1, 0)
)</f>
        <v>46296</v>
      </c>
      <c r="J61" s="190"/>
      <c r="K61" s="190"/>
      <c r="L61" s="190"/>
      <c r="M61" s="190"/>
      <c r="N61" s="190"/>
      <c r="O61" s="190"/>
      <c r="P61" s="190"/>
      <c r="Q61" s="190"/>
      <c r="R61" s="190"/>
      <c r="S61" s="190"/>
      <c r="T61" s="190"/>
      <c r="U61" s="190"/>
      <c r="V61" s="190"/>
      <c r="W61" s="190"/>
      <c r="X61" s="190"/>
      <c r="Y61" s="190"/>
      <c r="Z61" s="190"/>
    </row>
    <row r="62">
      <c r="A62" s="555" t="s">
        <v>745</v>
      </c>
      <c r="B62" s="563" t="s">
        <v>746</v>
      </c>
      <c r="C62" s="557"/>
      <c r="D62" s="558"/>
      <c r="E62" s="190"/>
      <c r="F62" s="555" t="s">
        <v>745</v>
      </c>
      <c r="G62" s="563" t="s">
        <v>746</v>
      </c>
      <c r="H62" s="564"/>
      <c r="I62" s="560"/>
      <c r="J62" s="190"/>
      <c r="K62" s="190"/>
      <c r="L62" s="190"/>
      <c r="M62" s="190"/>
      <c r="N62" s="190"/>
      <c r="O62" s="190"/>
      <c r="P62" s="190"/>
      <c r="Q62" s="190"/>
      <c r="R62" s="190"/>
      <c r="S62" s="190"/>
      <c r="T62" s="190"/>
      <c r="U62" s="190"/>
      <c r="V62" s="190"/>
      <c r="W62" s="190"/>
      <c r="X62" s="190"/>
      <c r="Y62" s="190"/>
      <c r="Z62" s="190"/>
    </row>
    <row r="63">
      <c r="A63" s="555"/>
      <c r="B63" s="563" t="s">
        <v>747</v>
      </c>
      <c r="C63" s="557" t="str">
        <f>IFERROR(__xludf.DUMMYFUNCTION("IF(
    ISERROR(
        FILTER(
            'Product Features'!$C:$C,
            'Product Features'!$C:$C = B63,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)"),"NO")</f>
        <v>NO</v>
      </c>
      <c r="D63" s="558" t="str">
        <f t="array" ref="D63">INDEX('Product Features'!$N$1:$P$1, , MIN(3, MATCH($B$6, {-9E+99, INDEX('Product Features'!$N:$P, MATCH(B63, 'Product Features'!$C:$C, 0), 0) * 1}, 1)))</f>
        <v>TRL 9</v>
      </c>
      <c r="E63" s="190"/>
      <c r="F63" s="555"/>
      <c r="G63" s="563" t="s">
        <v>747</v>
      </c>
      <c r="H63" s="559" t="str">
        <f t="array" ref="H63">INDEX('Product Features'!$M:$M, MATCH(G63, 'Product Features'!$C:$C, 0))</f>
        <v/>
      </c>
      <c r="I63" s="560" t="str">
        <f t="array" ref="I63">INDEX(
    INDEX('Product Features'!$N:$P, MATCH(G63, 'Product Features'!$C:$C, 0), 0),
    MATCH($G$6, 'Product Features'!$N$1:$P$1, 0)
)</f>
        <v/>
      </c>
      <c r="J63" s="190"/>
      <c r="K63" s="190"/>
      <c r="L63" s="190"/>
      <c r="M63" s="190"/>
      <c r="N63" s="190"/>
      <c r="O63" s="190"/>
      <c r="P63" s="190"/>
      <c r="Q63" s="190"/>
      <c r="R63" s="190"/>
      <c r="S63" s="190"/>
      <c r="T63" s="190"/>
      <c r="U63" s="190"/>
      <c r="V63" s="190"/>
      <c r="W63" s="190"/>
      <c r="X63" s="190"/>
      <c r="Y63" s="190"/>
      <c r="Z63" s="190"/>
    </row>
    <row r="64">
      <c r="A64" s="555"/>
      <c r="B64" s="563"/>
      <c r="C64" s="557" t="str">
        <f>IFERROR(__xludf.DUMMYFUNCTION("IF(
    ISERROR(
        FILTER(
            'Product Features'!$C:$C,
            'Product Features'!$C:$C = B64,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64" s="558" t="str">
        <f t="array" ref="D64">INDEX('Product Features'!$N$1:$P$1, , MIN(3, MATCH($B$6, {-9E+99, INDEX('Product Features'!$N:$P, MATCH(B64, 'Product Features'!$C:$C, 0), 0) * 1}, 1)))</f>
        <v>TRL 3</v>
      </c>
      <c r="E64" s="190"/>
      <c r="F64" s="555"/>
      <c r="G64" s="563"/>
      <c r="H64" s="564" t="str">
        <f t="array" ref="H64">INDEX('Product Features'!$M:$M, MATCH(G64, 'Product Features'!$C:$C, 0))</f>
        <v>#N/A</v>
      </c>
      <c r="I64" s="560" t="str">
        <f t="array" ref="I64">INDEX(
    INDEX('Product Features'!$N:$P, MATCH(G64, 'Product Features'!$C:$C, 0), 0),
    MATCH($G$6, 'Product Features'!$N$1:$P$1, 0)
)</f>
        <v>#N/A</v>
      </c>
      <c r="J64" s="190"/>
      <c r="K64" s="190"/>
      <c r="L64" s="190"/>
      <c r="M64" s="190"/>
      <c r="N64" s="190"/>
      <c r="O64" s="190"/>
      <c r="P64" s="190"/>
      <c r="Q64" s="190"/>
      <c r="R64" s="190"/>
      <c r="S64" s="190"/>
      <c r="T64" s="190"/>
      <c r="U64" s="190"/>
      <c r="V64" s="190"/>
      <c r="W64" s="190"/>
      <c r="X64" s="190"/>
      <c r="Y64" s="190"/>
      <c r="Z64" s="190"/>
    </row>
    <row r="65">
      <c r="A65" s="555" t="s">
        <v>749</v>
      </c>
      <c r="B65" s="563" t="s">
        <v>750</v>
      </c>
      <c r="C65" s="557" t="str">
        <f>IFERROR(__xludf.DUMMYFUNCTION("IF(
    ISERROR(
        FILTER(
            'Product Features'!$C:$C,
            'Product Features'!$C:$C = B65,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65" s="558" t="str">
        <f t="array" ref="D65">INDEX('Product Features'!$N$1:$P$1, , MIN(3, MATCH($B$6, {-9E+99, INDEX('Product Features'!$N:$P, MATCH(B65, 'Product Features'!$C:$C, 0), 0) * 1}, 1)))</f>
        <v>TRL 9</v>
      </c>
      <c r="E65" s="190"/>
      <c r="F65" s="555" t="s">
        <v>749</v>
      </c>
      <c r="G65" s="563" t="s">
        <v>750</v>
      </c>
      <c r="H65" s="559" t="str">
        <f t="array" ref="H65">INDEX('Product Features'!$M:$M, MATCH(G65, 'Product Features'!$C:$C, 0))</f>
        <v/>
      </c>
      <c r="I65" s="560" t="str">
        <f t="array" ref="I65">INDEX(
    INDEX('Product Features'!$N:$P, MATCH(G65, 'Product Features'!$C:$C, 0), 0),
    MATCH($G$6, 'Product Features'!$N$1:$P$1, 0)
)</f>
        <v/>
      </c>
      <c r="J65" s="190"/>
      <c r="K65" s="190"/>
      <c r="L65" s="190"/>
      <c r="M65" s="190"/>
      <c r="N65" s="190"/>
      <c r="O65" s="190"/>
      <c r="P65" s="190"/>
      <c r="Q65" s="190"/>
      <c r="R65" s="190"/>
      <c r="S65" s="190"/>
      <c r="T65" s="190"/>
      <c r="U65" s="190"/>
      <c r="V65" s="190"/>
      <c r="W65" s="190"/>
      <c r="X65" s="190"/>
      <c r="Y65" s="190"/>
      <c r="Z65" s="190"/>
    </row>
    <row r="66">
      <c r="A66" s="555" t="s">
        <v>751</v>
      </c>
      <c r="B66" s="563"/>
      <c r="C66" s="557"/>
      <c r="D66" s="558"/>
      <c r="E66" s="190"/>
      <c r="F66" s="555" t="s">
        <v>751</v>
      </c>
      <c r="G66" s="563"/>
      <c r="H66" s="564"/>
      <c r="I66" s="560"/>
      <c r="J66" s="190"/>
      <c r="K66" s="190"/>
      <c r="L66" s="190"/>
      <c r="M66" s="190"/>
      <c r="N66" s="190"/>
      <c r="O66" s="190"/>
      <c r="P66" s="190"/>
      <c r="Q66" s="190"/>
      <c r="R66" s="190"/>
      <c r="S66" s="190"/>
      <c r="T66" s="190"/>
      <c r="U66" s="190"/>
      <c r="V66" s="190"/>
      <c r="W66" s="190"/>
      <c r="X66" s="190"/>
      <c r="Y66" s="190"/>
      <c r="Z66" s="190"/>
    </row>
    <row r="67">
      <c r="A67" s="555" t="s">
        <v>752</v>
      </c>
      <c r="B67" s="563" t="s">
        <v>753</v>
      </c>
      <c r="C67" s="557" t="str">
        <f>IFERROR(__xludf.DUMMYFUNCTION("IF(
    ISERROR(
        FILTER(
            'Product Features'!$C:$C,
            'Product Features'!$C:$C = B67,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67" s="558" t="str">
        <f t="array" ref="D67">INDEX('Product Features'!$N$1:$P$1, , MIN(3, MATCH($B$6, {-9E+99, INDEX('Product Features'!$N:$P, MATCH(B67, 'Product Features'!$C:$C, 0), 0) * 1}, 1)))</f>
        <v>TRL 9</v>
      </c>
      <c r="E67" s="190"/>
      <c r="F67" s="555" t="s">
        <v>752</v>
      </c>
      <c r="G67" s="563" t="s">
        <v>753</v>
      </c>
      <c r="H67" s="559" t="str">
        <f t="array" ref="H67">INDEX('Product Features'!$M:$M, MATCH(G67, 'Product Features'!$C:$C, 0))</f>
        <v/>
      </c>
      <c r="I67" s="560" t="str">
        <f t="array" ref="I67">INDEX(
    INDEX('Product Features'!$N:$P, MATCH(G67, 'Product Features'!$C:$C, 0), 0),
    MATCH($G$6, 'Product Features'!$N$1:$P$1, 0)
)</f>
        <v/>
      </c>
      <c r="J67" s="190"/>
      <c r="K67" s="190"/>
      <c r="L67" s="190"/>
      <c r="M67" s="190"/>
      <c r="N67" s="190"/>
      <c r="O67" s="190"/>
      <c r="P67" s="190"/>
      <c r="Q67" s="190"/>
      <c r="R67" s="190"/>
      <c r="S67" s="190"/>
      <c r="T67" s="190"/>
      <c r="U67" s="190"/>
      <c r="V67" s="190"/>
      <c r="W67" s="190"/>
      <c r="X67" s="190"/>
      <c r="Y67" s="190"/>
      <c r="Z67" s="190"/>
    </row>
    <row r="68">
      <c r="A68" s="555"/>
      <c r="B68" s="563"/>
      <c r="C68" s="557" t="str">
        <f>IFERROR(__xludf.DUMMYFUNCTION("IF(
    ISERROR(
        FILTER(
            'Product Features'!$C:$C,
            'Product Features'!$C:$C = B68,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68" s="558" t="str">
        <f t="array" ref="D68">INDEX('Product Features'!$N$1:$P$1, , MIN(3, MATCH($B$6, {-9E+99, INDEX('Product Features'!$N:$P, MATCH(B68, 'Product Features'!$C:$C, 0), 0) * 1}, 1)))</f>
        <v>TRL 3</v>
      </c>
      <c r="E68" s="190"/>
      <c r="F68" s="555"/>
      <c r="G68" s="563"/>
      <c r="H68" s="564" t="str">
        <f t="array" ref="H68">INDEX('Product Features'!$M:$M, MATCH(G68, 'Product Features'!$C:$C, 0))</f>
        <v>#N/A</v>
      </c>
      <c r="I68" s="560" t="str">
        <f t="array" ref="I68">INDEX(
    INDEX('Product Features'!$N:$P, MATCH(G68, 'Product Features'!$C:$C, 0), 0),
    MATCH($G$6, 'Product Features'!$N$1:$P$1, 0)
)</f>
        <v>#N/A</v>
      </c>
      <c r="J68" s="190"/>
      <c r="K68" s="190"/>
      <c r="L68" s="190"/>
      <c r="M68" s="190"/>
      <c r="N68" s="190"/>
      <c r="O68" s="190"/>
      <c r="P68" s="190"/>
      <c r="Q68" s="190"/>
      <c r="R68" s="190"/>
      <c r="S68" s="190"/>
      <c r="T68" s="190"/>
      <c r="U68" s="190"/>
      <c r="V68" s="190"/>
      <c r="W68" s="190"/>
      <c r="X68" s="190"/>
      <c r="Y68" s="190"/>
      <c r="Z68" s="190"/>
    </row>
    <row r="69">
      <c r="A69" s="555" t="s">
        <v>755</v>
      </c>
      <c r="B69" s="563" t="s">
        <v>756</v>
      </c>
      <c r="C69" s="557" t="str">
        <f>IFERROR(__xludf.DUMMYFUNCTION("IF(
    ISERROR(
        FILTER(
            'Product Features'!$C:$C,
            'Product Features'!$C:$C = B69,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69" s="558" t="str">
        <f t="array" ref="D69">INDEX('Product Features'!$N$1:$P$1, , MIN(3, MATCH($B$6, {-9E+99, INDEX('Product Features'!$N:$P, MATCH(B69, 'Product Features'!$C:$C, 0), 0) * 1}, 1)))</f>
        <v>TRL 9</v>
      </c>
      <c r="E69" s="190"/>
      <c r="F69" s="555" t="s">
        <v>755</v>
      </c>
      <c r="G69" s="563" t="s">
        <v>756</v>
      </c>
      <c r="H69" s="559">
        <f t="array" ref="H69">INDEX('Product Features'!$M:$M, MATCH(G69, 'Product Features'!$C:$C, 0))</f>
        <v>45901</v>
      </c>
      <c r="I69" s="560">
        <f t="array" ref="I69">INDEX(
    INDEX('Product Features'!$N:$P, MATCH(G69, 'Product Features'!$C:$C, 0), 0),
    MATCH($G$6, 'Product Features'!$N$1:$P$1, 0)
)</f>
        <v>46023</v>
      </c>
      <c r="J69" s="190"/>
      <c r="K69" s="190"/>
      <c r="L69" s="190"/>
      <c r="M69" s="190"/>
      <c r="N69" s="190"/>
      <c r="O69" s="190"/>
      <c r="P69" s="190"/>
      <c r="Q69" s="190"/>
      <c r="R69" s="190"/>
      <c r="S69" s="190"/>
      <c r="T69" s="190"/>
      <c r="U69" s="190"/>
      <c r="V69" s="190"/>
      <c r="W69" s="190"/>
      <c r="X69" s="190"/>
      <c r="Y69" s="190"/>
      <c r="Z69" s="190"/>
    </row>
    <row r="70">
      <c r="A70" s="555" t="s">
        <v>758</v>
      </c>
      <c r="B70" s="563" t="s">
        <v>759</v>
      </c>
      <c r="C70" s="557" t="str">
        <f>IFERROR(__xludf.DUMMYFUNCTION("IF(
    ISERROR(
        FILTER(
            'Product Features'!$C:$C,
            'Product Features'!$C:$C = B70,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70" s="558" t="str">
        <f t="array" ref="D70">INDEX('Product Features'!$N$1:$P$1, , MIN(3, MATCH($B$6, {-9E+99, INDEX('Product Features'!$N:$P, MATCH(B70, 'Product Features'!$C:$C, 0), 0) * 1}, 1)))</f>
        <v>TRL 9</v>
      </c>
      <c r="E70" s="190"/>
      <c r="F70" s="555" t="s">
        <v>758</v>
      </c>
      <c r="G70" s="563" t="s">
        <v>759</v>
      </c>
      <c r="H70" s="559">
        <f t="array" ref="H70">INDEX('Product Features'!$M:$M, MATCH(G70, 'Product Features'!$C:$C, 0))</f>
        <v>46113</v>
      </c>
      <c r="I70" s="560">
        <f t="array" ref="I70">INDEX(
    INDEX('Product Features'!$N:$P, MATCH(G70, 'Product Features'!$C:$C, 0), 0),
    MATCH($G$6, 'Product Features'!$N$1:$P$1, 0)
)</f>
        <v>46113</v>
      </c>
      <c r="J70" s="190"/>
      <c r="K70" s="190"/>
      <c r="L70" s="190"/>
      <c r="M70" s="190"/>
      <c r="N70" s="190"/>
      <c r="O70" s="190"/>
      <c r="P70" s="190"/>
      <c r="Q70" s="190"/>
      <c r="R70" s="190"/>
      <c r="S70" s="190"/>
      <c r="T70" s="190"/>
      <c r="U70" s="190"/>
      <c r="V70" s="190"/>
      <c r="W70" s="190"/>
      <c r="X70" s="190"/>
      <c r="Y70" s="190"/>
      <c r="Z70" s="190"/>
    </row>
    <row r="71">
      <c r="A71" s="555" t="s">
        <v>761</v>
      </c>
      <c r="B71" s="563" t="s">
        <v>762</v>
      </c>
      <c r="C71" s="557" t="str">
        <f>IFERROR(__xludf.DUMMYFUNCTION("IF(
    ISERROR(
        FILTER(
            'Product Features'!$C:$C,
            'Product Features'!$C:$C = B71,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71" s="558" t="str">
        <f t="array" ref="D71">INDEX('Product Features'!$N$1:$P$1, , MIN(3, MATCH($B$6, {-9E+99, INDEX('Product Features'!$N:$P, MATCH(B71, 'Product Features'!$C:$C, 0), 0) * 1}, 1)))</f>
        <v>TRL 9</v>
      </c>
      <c r="E71" s="190"/>
      <c r="F71" s="555" t="s">
        <v>761</v>
      </c>
      <c r="G71" s="563" t="s">
        <v>762</v>
      </c>
      <c r="H71" s="559">
        <f t="array" ref="H71">INDEX('Product Features'!$M:$M, MATCH(G71, 'Product Features'!$C:$C, 0))</f>
        <v>45901</v>
      </c>
      <c r="I71" s="560">
        <f t="array" ref="I71">INDEX(
    INDEX('Product Features'!$N:$P, MATCH(G71, 'Product Features'!$C:$C, 0), 0),
    MATCH($G$6, 'Product Features'!$N$1:$P$1, 0)
)</f>
        <v>46113</v>
      </c>
      <c r="J71" s="190"/>
      <c r="K71" s="190"/>
      <c r="L71" s="190"/>
      <c r="M71" s="190"/>
      <c r="N71" s="190"/>
      <c r="O71" s="190"/>
      <c r="P71" s="190"/>
      <c r="Q71" s="190"/>
      <c r="R71" s="190"/>
      <c r="S71" s="190"/>
      <c r="T71" s="190"/>
      <c r="U71" s="190"/>
      <c r="V71" s="190"/>
      <c r="W71" s="190"/>
      <c r="X71" s="190"/>
      <c r="Y71" s="190"/>
      <c r="Z71" s="190"/>
    </row>
    <row r="72">
      <c r="A72" s="555" t="s">
        <v>764</v>
      </c>
      <c r="B72" s="563" t="s">
        <v>765</v>
      </c>
      <c r="C72" s="557" t="str">
        <f>IFERROR(__xludf.DUMMYFUNCTION("IF(
    ISERROR(
        FILTER(
            'Product Features'!$C:$C,
            'Product Features'!$C:$C = B72,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72" s="558" t="str">
        <f t="array" ref="D72">INDEX('Product Features'!$N$1:$P$1, , MIN(3, MATCH($B$6, {-9E+99, INDEX('Product Features'!$N:$P, MATCH(B72, 'Product Features'!$C:$C, 0), 0) * 1}, 1)))</f>
        <v>TRL 9</v>
      </c>
      <c r="E72" s="190"/>
      <c r="F72" s="555" t="s">
        <v>764</v>
      </c>
      <c r="G72" s="563" t="s">
        <v>765</v>
      </c>
      <c r="H72" s="559">
        <f t="array" ref="H72">INDEX('Product Features'!$M:$M, MATCH(G72, 'Product Features'!$C:$C, 0))</f>
        <v>45901</v>
      </c>
      <c r="I72" s="560">
        <f t="array" ref="I72">INDEX(
    INDEX('Product Features'!$N:$P, MATCH(G72, 'Product Features'!$C:$C, 0), 0),
    MATCH($G$6, 'Product Features'!$N$1:$P$1, 0)
)</f>
        <v>46113</v>
      </c>
      <c r="J72" s="190"/>
      <c r="K72" s="190"/>
      <c r="L72" s="190"/>
      <c r="M72" s="190"/>
      <c r="N72" s="190"/>
      <c r="O72" s="190"/>
      <c r="P72" s="190"/>
      <c r="Q72" s="190"/>
      <c r="R72" s="190"/>
      <c r="S72" s="190"/>
      <c r="T72" s="190"/>
      <c r="U72" s="190"/>
      <c r="V72" s="190"/>
      <c r="W72" s="190"/>
      <c r="X72" s="190"/>
      <c r="Y72" s="190"/>
      <c r="Z72" s="190"/>
    </row>
    <row r="73">
      <c r="A73" s="555" t="s">
        <v>767</v>
      </c>
      <c r="B73" s="563" t="s">
        <v>768</v>
      </c>
      <c r="C73" s="557" t="str">
        <f>IFERROR(__xludf.DUMMYFUNCTION("IF(
    ISERROR(
        FILTER(
            'Product Features'!$C:$C,
            'Product Features'!$C:$C = B73,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73" s="558" t="str">
        <f t="array" ref="D73">INDEX('Product Features'!$N$1:$P$1, , MIN(3, MATCH($B$6, {-9E+99, INDEX('Product Features'!$N:$P, MATCH(B73, 'Product Features'!$C:$C, 0), 0) * 1}, 1)))</f>
        <v>TRL 9</v>
      </c>
      <c r="E73" s="190"/>
      <c r="F73" s="555" t="s">
        <v>767</v>
      </c>
      <c r="G73" s="563" t="s">
        <v>768</v>
      </c>
      <c r="H73" s="559" t="str">
        <f t="array" ref="H73">INDEX('Product Features'!$M:$M, MATCH(G73, 'Product Features'!$C:$C, 0))</f>
        <v/>
      </c>
      <c r="I73" s="560" t="str">
        <f t="array" ref="I73">INDEX(
    INDEX('Product Features'!$N:$P, MATCH(G73, 'Product Features'!$C:$C, 0), 0),
    MATCH($G$6, 'Product Features'!$N$1:$P$1, 0)
)</f>
        <v/>
      </c>
      <c r="J73" s="190"/>
      <c r="K73" s="190"/>
      <c r="L73" s="190"/>
      <c r="M73" s="190"/>
      <c r="N73" s="190"/>
      <c r="O73" s="190"/>
      <c r="P73" s="190"/>
      <c r="Q73" s="190"/>
      <c r="R73" s="190"/>
      <c r="S73" s="190"/>
      <c r="T73" s="190"/>
      <c r="U73" s="190"/>
      <c r="V73" s="190"/>
      <c r="W73" s="190"/>
      <c r="X73" s="190"/>
      <c r="Y73" s="190"/>
      <c r="Z73" s="190"/>
    </row>
    <row r="74">
      <c r="A74" s="555" t="s">
        <v>769</v>
      </c>
      <c r="B74" s="563" t="s">
        <v>770</v>
      </c>
      <c r="C74" s="557" t="str">
        <f>IFERROR(__xludf.DUMMYFUNCTION("IF(
    ISERROR(
        FILTER(
            'Product Features'!$C:$C,
            'Product Features'!$C:$C = B74,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74" s="558" t="str">
        <f t="array" ref="D74">INDEX('Product Features'!$N$1:$P$1, , MIN(3, MATCH($B$6, {-9E+99, INDEX('Product Features'!$N:$P, MATCH(B74, 'Product Features'!$C:$C, 0), 0) * 1}, 1)))</f>
        <v>TRL 9</v>
      </c>
      <c r="E74" s="190"/>
      <c r="F74" s="555" t="s">
        <v>769</v>
      </c>
      <c r="G74" s="563" t="s">
        <v>770</v>
      </c>
      <c r="H74" s="559">
        <f t="array" ref="H74">INDEX('Product Features'!$M:$M, MATCH(G74, 'Product Features'!$C:$C, 0))</f>
        <v>45901</v>
      </c>
      <c r="I74" s="560">
        <f t="array" ref="I74">INDEX(
    INDEX('Product Features'!$N:$P, MATCH(G74, 'Product Features'!$C:$C, 0), 0),
    MATCH($G$6, 'Product Features'!$N$1:$P$1, 0)
)</f>
        <v>46113</v>
      </c>
      <c r="J74" s="190"/>
      <c r="K74" s="190"/>
      <c r="L74" s="190"/>
      <c r="M74" s="190"/>
      <c r="N74" s="190"/>
      <c r="O74" s="190"/>
      <c r="P74" s="190"/>
      <c r="Q74" s="190"/>
      <c r="R74" s="190"/>
      <c r="S74" s="190"/>
      <c r="T74" s="190"/>
      <c r="U74" s="190"/>
      <c r="V74" s="190"/>
      <c r="W74" s="190"/>
      <c r="X74" s="190"/>
      <c r="Y74" s="190"/>
      <c r="Z74" s="190"/>
    </row>
    <row r="75">
      <c r="A75" s="555" t="s">
        <v>772</v>
      </c>
      <c r="B75" s="563" t="s">
        <v>773</v>
      </c>
      <c r="C75" s="557" t="str">
        <f>IFERROR(__xludf.DUMMYFUNCTION("IF(
    ISERROR(
        FILTER(
            'Product Features'!$C:$C,
            'Product Features'!$C:$C = B75,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75" s="558" t="str">
        <f t="array" ref="D75">INDEX('Product Features'!$N$1:$P$1, , MIN(3, MATCH($B$6, {-9E+99, INDEX('Product Features'!$N:$P, MATCH(B75, 'Product Features'!$C:$C, 0), 0) * 1}, 1)))</f>
        <v>TRL 9</v>
      </c>
      <c r="E75" s="190"/>
      <c r="F75" s="555" t="s">
        <v>772</v>
      </c>
      <c r="G75" s="563" t="s">
        <v>773</v>
      </c>
      <c r="H75" s="559" t="str">
        <f t="array" ref="H75">INDEX('Product Features'!$M:$M, MATCH(G75, 'Product Features'!$C:$C, 0))</f>
        <v/>
      </c>
      <c r="I75" s="560" t="str">
        <f t="array" ref="I75">INDEX(
    INDEX('Product Features'!$N:$P, MATCH(G75, 'Product Features'!$C:$C, 0), 0),
    MATCH($G$6, 'Product Features'!$N$1:$P$1, 0)
)</f>
        <v/>
      </c>
      <c r="J75" s="190"/>
      <c r="K75" s="190"/>
      <c r="L75" s="190"/>
      <c r="M75" s="190"/>
      <c r="N75" s="190"/>
      <c r="O75" s="190"/>
      <c r="P75" s="190"/>
      <c r="Q75" s="190"/>
      <c r="R75" s="190"/>
      <c r="S75" s="190"/>
      <c r="T75" s="190"/>
      <c r="U75" s="190"/>
      <c r="V75" s="190"/>
      <c r="W75" s="190"/>
      <c r="X75" s="190"/>
      <c r="Y75" s="190"/>
      <c r="Z75" s="190"/>
    </row>
    <row r="76">
      <c r="A76" s="555" t="s">
        <v>774</v>
      </c>
      <c r="B76" s="563" t="s">
        <v>775</v>
      </c>
      <c r="C76" s="557" t="str">
        <f>IFERROR(__xludf.DUMMYFUNCTION("IF(
    ISERROR(
        FILTER(
            'Product Features'!$C:$C,
            'Product Features'!$C:$C = B76,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76" s="558" t="str">
        <f t="array" ref="D76">INDEX('Product Features'!$N$1:$P$1, , MIN(3, MATCH($B$6, {-9E+99, INDEX('Product Features'!$N:$P, MATCH(B76, 'Product Features'!$C:$C, 0), 0) * 1}, 1)))</f>
        <v>TRL 6</v>
      </c>
      <c r="E76" s="190"/>
      <c r="F76" s="555" t="s">
        <v>774</v>
      </c>
      <c r="G76" s="563" t="s">
        <v>775</v>
      </c>
      <c r="H76" s="559">
        <f t="array" ref="H76">INDEX('Product Features'!$M:$M, MATCH(G76, 'Product Features'!$C:$C, 0))</f>
        <v>45901</v>
      </c>
      <c r="I76" s="560">
        <f t="array" ref="I76">INDEX(
    INDEX('Product Features'!$N:$P, MATCH(G76, 'Product Features'!$C:$C, 0), 0),
    MATCH($G$6, 'Product Features'!$N$1:$P$1, 0)
)</f>
        <v>46204</v>
      </c>
      <c r="J76" s="190"/>
      <c r="K76" s="190"/>
      <c r="L76" s="190"/>
      <c r="M76" s="190"/>
      <c r="N76" s="190"/>
      <c r="O76" s="190"/>
      <c r="P76" s="190"/>
      <c r="Q76" s="190"/>
      <c r="R76" s="190"/>
      <c r="S76" s="190"/>
      <c r="T76" s="190"/>
      <c r="U76" s="190"/>
      <c r="V76" s="190"/>
      <c r="W76" s="190"/>
      <c r="X76" s="190"/>
      <c r="Y76" s="190"/>
      <c r="Z76" s="190"/>
    </row>
    <row r="77">
      <c r="A77" s="555" t="s">
        <v>777</v>
      </c>
      <c r="B77" s="563" t="s">
        <v>778</v>
      </c>
      <c r="C77" s="557" t="str">
        <f>IFERROR(__xludf.DUMMYFUNCTION("IF(
    ISERROR(
        FILTER(
            'Product Features'!$C:$C,
            'Product Features'!$C:$C = B77,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77" s="558" t="str">
        <f t="array" ref="D77">INDEX('Product Features'!$N$1:$P$1, , MIN(3, MATCH($B$6, {-9E+99, INDEX('Product Features'!$N:$P, MATCH(B77, 'Product Features'!$C:$C, 0), 0) * 1}, 1)))</f>
        <v>TRL 6</v>
      </c>
      <c r="E77" s="190"/>
      <c r="F77" s="555" t="s">
        <v>777</v>
      </c>
      <c r="G77" s="563" t="s">
        <v>778</v>
      </c>
      <c r="H77" s="559">
        <f t="array" ref="H77">INDEX('Product Features'!$M:$M, MATCH(G77, 'Product Features'!$C:$C, 0))</f>
        <v>45901</v>
      </c>
      <c r="I77" s="560">
        <f t="array" ref="I77">INDEX(
    INDEX('Product Features'!$N:$P, MATCH(G77, 'Product Features'!$C:$C, 0), 0),
    MATCH($G$6, 'Product Features'!$N$1:$P$1, 0)
)</f>
        <v>46204</v>
      </c>
      <c r="J77" s="190"/>
      <c r="K77" s="190"/>
      <c r="L77" s="190"/>
      <c r="M77" s="190"/>
      <c r="N77" s="190"/>
      <c r="O77" s="190"/>
      <c r="P77" s="190"/>
      <c r="Q77" s="190"/>
      <c r="R77" s="190"/>
      <c r="S77" s="190"/>
      <c r="T77" s="190"/>
      <c r="U77" s="190"/>
      <c r="V77" s="190"/>
      <c r="W77" s="190"/>
      <c r="X77" s="190"/>
      <c r="Y77" s="190"/>
      <c r="Z77" s="190"/>
    </row>
    <row r="78">
      <c r="A78" s="555" t="s">
        <v>780</v>
      </c>
      <c r="B78" s="563" t="s">
        <v>781</v>
      </c>
      <c r="C78" s="557" t="str">
        <f>IFERROR(__xludf.DUMMYFUNCTION("IF(
    ISERROR(
        FILTER(
            'Product Features'!$C:$C,
            'Product Features'!$C:$C = B78,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78" s="558" t="str">
        <f t="array" ref="D78">INDEX('Product Features'!$N$1:$P$1, , MIN(3, MATCH($B$6, {-9E+99, INDEX('Product Features'!$N:$P, MATCH(B78, 'Product Features'!$C:$C, 0), 0) * 1}, 1)))</f>
        <v>TRL 9</v>
      </c>
      <c r="E78" s="190"/>
      <c r="F78" s="555" t="s">
        <v>780</v>
      </c>
      <c r="G78" s="563" t="s">
        <v>781</v>
      </c>
      <c r="H78" s="559" t="str">
        <f t="array" ref="H78">INDEX('Product Features'!$M:$M, MATCH(G78, 'Product Features'!$C:$C, 0))</f>
        <v/>
      </c>
      <c r="I78" s="560" t="str">
        <f t="array" ref="I78">INDEX(
    INDEX('Product Features'!$N:$P, MATCH(G78, 'Product Features'!$C:$C, 0), 0),
    MATCH($G$6, 'Product Features'!$N$1:$P$1, 0)
)</f>
        <v/>
      </c>
      <c r="J78" s="190"/>
      <c r="K78" s="190"/>
      <c r="L78" s="190"/>
      <c r="M78" s="190"/>
      <c r="N78" s="190"/>
      <c r="O78" s="190"/>
      <c r="P78" s="190"/>
      <c r="Q78" s="190"/>
      <c r="R78" s="190"/>
      <c r="S78" s="190"/>
      <c r="T78" s="190"/>
      <c r="U78" s="190"/>
      <c r="V78" s="190"/>
      <c r="W78" s="190"/>
      <c r="X78" s="190"/>
      <c r="Y78" s="190"/>
      <c r="Z78" s="190"/>
    </row>
    <row r="79">
      <c r="A79" s="555" t="s">
        <v>783</v>
      </c>
      <c r="B79" s="563" t="s">
        <v>784</v>
      </c>
      <c r="C79" s="557"/>
      <c r="D79" s="558"/>
      <c r="E79" s="190"/>
      <c r="F79" s="555" t="s">
        <v>783</v>
      </c>
      <c r="G79" s="563" t="s">
        <v>784</v>
      </c>
      <c r="H79" s="564"/>
      <c r="I79" s="560"/>
      <c r="J79" s="190"/>
      <c r="K79" s="190"/>
      <c r="L79" s="190"/>
      <c r="M79" s="190"/>
      <c r="N79" s="190"/>
      <c r="O79" s="190"/>
      <c r="P79" s="190"/>
      <c r="Q79" s="190"/>
      <c r="R79" s="190"/>
      <c r="S79" s="190"/>
      <c r="T79" s="190"/>
      <c r="U79" s="190"/>
      <c r="V79" s="190"/>
      <c r="W79" s="190"/>
      <c r="X79" s="190"/>
      <c r="Y79" s="190"/>
      <c r="Z79" s="190"/>
    </row>
    <row r="80">
      <c r="A80" s="555" t="s">
        <v>786</v>
      </c>
      <c r="B80" s="563" t="s">
        <v>787</v>
      </c>
      <c r="C80" s="557" t="str">
        <f>IFERROR(__xludf.DUMMYFUNCTION("IF(
    ISERROR(
        FILTER(
            'Product Features'!$C:$C,
            'Product Features'!$C:$C = B80,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80" s="558" t="str">
        <f t="array" ref="D80">INDEX('Product Features'!$N$1:$P$1, , MIN(3, MATCH($B$6, {-9E+99, INDEX('Product Features'!$N:$P, MATCH(B80, 'Product Features'!$C:$C, 0), 0) * 1}, 1)))</f>
        <v>TRL 3</v>
      </c>
      <c r="E80" s="190"/>
      <c r="F80" s="555" t="s">
        <v>786</v>
      </c>
      <c r="G80" s="563" t="s">
        <v>787</v>
      </c>
      <c r="H80" s="559">
        <f t="array" ref="H80">INDEX('Product Features'!$M:$M, MATCH(G80, 'Product Features'!$C:$C, 0))</f>
        <v>46023</v>
      </c>
      <c r="I80" s="560">
        <f t="array" ref="I80">INDEX(
    INDEX('Product Features'!$N:$P, MATCH(G80, 'Product Features'!$C:$C, 0), 0),
    MATCH($G$6, 'Product Features'!$N$1:$P$1, 0)
)</f>
        <v>46296</v>
      </c>
      <c r="J80" s="190"/>
      <c r="K80" s="190"/>
      <c r="L80" s="190"/>
      <c r="M80" s="190"/>
      <c r="N80" s="190"/>
      <c r="O80" s="190"/>
      <c r="P80" s="190"/>
      <c r="Q80" s="190"/>
      <c r="R80" s="190"/>
      <c r="S80" s="190"/>
      <c r="T80" s="190"/>
      <c r="U80" s="190"/>
      <c r="V80" s="190"/>
      <c r="W80" s="190"/>
      <c r="X80" s="190"/>
      <c r="Y80" s="190"/>
      <c r="Z80" s="190"/>
    </row>
    <row r="81">
      <c r="A81" s="555"/>
      <c r="B81" s="563"/>
      <c r="C81" s="557" t="str">
        <f>IFERROR(__xludf.DUMMYFUNCTION("IF(
    ISERROR(
        FILTER(
            'Product Features'!$C:$C,
            'Product Features'!$C:$C = B81,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81" s="558" t="str">
        <f t="array" ref="D81">INDEX('Product Features'!$N$1:$P$1, , MIN(3, MATCH($B$6, {-9E+99, INDEX('Product Features'!$N:$P, MATCH(B81, 'Product Features'!$C:$C, 0), 0) * 1}, 1)))</f>
        <v>TRL 3</v>
      </c>
      <c r="E81" s="190"/>
      <c r="F81" s="555"/>
      <c r="G81" s="563"/>
      <c r="H81" s="564" t="str">
        <f t="array" ref="H81">INDEX('Product Features'!$M:$M, MATCH(G81, 'Product Features'!$C:$C, 0))</f>
        <v>#N/A</v>
      </c>
      <c r="I81" s="560" t="str">
        <f t="array" ref="I81">INDEX(
    INDEX('Product Features'!$N:$P, MATCH(G81, 'Product Features'!$C:$C, 0), 0),
    MATCH($G$6, 'Product Features'!$N$1:$P$1, 0)
)</f>
        <v>#N/A</v>
      </c>
      <c r="J81" s="190"/>
      <c r="K81" s="190"/>
      <c r="L81" s="190"/>
      <c r="M81" s="190"/>
      <c r="N81" s="190"/>
      <c r="O81" s="190"/>
      <c r="P81" s="190"/>
      <c r="Q81" s="190"/>
      <c r="R81" s="190"/>
      <c r="S81" s="190"/>
      <c r="T81" s="190"/>
      <c r="U81" s="190"/>
      <c r="V81" s="190"/>
      <c r="W81" s="190"/>
      <c r="X81" s="190"/>
      <c r="Y81" s="190"/>
      <c r="Z81" s="190"/>
    </row>
    <row r="82">
      <c r="A82" s="555" t="s">
        <v>790</v>
      </c>
      <c r="B82" s="563" t="s">
        <v>791</v>
      </c>
      <c r="C82" s="557" t="str">
        <f>IFERROR(__xludf.DUMMYFUNCTION("IF(
    ISERROR(
        FILTER(
            'Product Features'!$C:$C,
            'Product Features'!$C:$C = B82,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82" s="558" t="str">
        <f t="array" ref="D82">INDEX('Product Features'!$N$1:$P$1, , MIN(3, MATCH($B$6, {-9E+99, INDEX('Product Features'!$N:$P, MATCH(B82, 'Product Features'!$C:$C, 0), 0) * 1}, 1)))</f>
        <v>TRL 9</v>
      </c>
      <c r="E82" s="190"/>
      <c r="F82" s="555" t="s">
        <v>790</v>
      </c>
      <c r="G82" s="563" t="s">
        <v>791</v>
      </c>
      <c r="H82" s="559" t="str">
        <f t="array" ref="H82">INDEX('Product Features'!$M:$M, MATCH(G82, 'Product Features'!$C:$C, 0))</f>
        <v/>
      </c>
      <c r="I82" s="560" t="str">
        <f t="array" ref="I82">INDEX(
    INDEX('Product Features'!$N:$P, MATCH(G82, 'Product Features'!$C:$C, 0), 0),
    MATCH($G$6, 'Product Features'!$N$1:$P$1, 0)
)</f>
        <v/>
      </c>
      <c r="J82" s="190"/>
      <c r="K82" s="190"/>
      <c r="L82" s="190"/>
      <c r="M82" s="190"/>
      <c r="N82" s="190"/>
      <c r="O82" s="190"/>
      <c r="P82" s="190"/>
      <c r="Q82" s="190"/>
      <c r="R82" s="190"/>
      <c r="S82" s="190"/>
      <c r="T82" s="190"/>
      <c r="U82" s="190"/>
      <c r="V82" s="190"/>
      <c r="W82" s="190"/>
      <c r="X82" s="190"/>
      <c r="Y82" s="190"/>
      <c r="Z82" s="190"/>
    </row>
    <row r="83">
      <c r="A83" s="555" t="s">
        <v>793</v>
      </c>
      <c r="B83" s="563" t="s">
        <v>794</v>
      </c>
      <c r="C83" s="557" t="str">
        <f>IFERROR(__xludf.DUMMYFUNCTION("IF(
    ISERROR(
        FILTER(
            'Product Features'!$C:$C,
            'Product Features'!$C:$C = B83,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83" s="558" t="str">
        <f t="array" ref="D83">INDEX('Product Features'!$N$1:$P$1, , MIN(3, MATCH($B$6, {-9E+99, INDEX('Product Features'!$N:$P, MATCH(B83, 'Product Features'!$C:$C, 0), 0) * 1}, 1)))</f>
        <v>TRL 9</v>
      </c>
      <c r="E83" s="190"/>
      <c r="F83" s="555" t="s">
        <v>793</v>
      </c>
      <c r="G83" s="563" t="s">
        <v>794</v>
      </c>
      <c r="H83" s="559" t="str">
        <f t="array" ref="H83">INDEX('Product Features'!$M:$M, MATCH(G83, 'Product Features'!$C:$C, 0))</f>
        <v/>
      </c>
      <c r="I83" s="560" t="str">
        <f t="array" ref="I83">INDEX(
    INDEX('Product Features'!$N:$P, MATCH(G83, 'Product Features'!$C:$C, 0), 0),
    MATCH($G$6, 'Product Features'!$N$1:$P$1, 0)
)</f>
        <v/>
      </c>
      <c r="J83" s="190"/>
      <c r="K83" s="190"/>
      <c r="L83" s="190"/>
      <c r="M83" s="190"/>
      <c r="N83" s="190"/>
      <c r="O83" s="190"/>
      <c r="P83" s="190"/>
      <c r="Q83" s="190"/>
      <c r="R83" s="190"/>
      <c r="S83" s="190"/>
      <c r="T83" s="190"/>
      <c r="U83" s="190"/>
      <c r="V83" s="190"/>
      <c r="W83" s="190"/>
      <c r="X83" s="190"/>
      <c r="Y83" s="190"/>
      <c r="Z83" s="190"/>
    </row>
    <row r="84">
      <c r="A84" s="555" t="s">
        <v>795</v>
      </c>
      <c r="B84" s="563" t="s">
        <v>796</v>
      </c>
      <c r="C84" s="557"/>
      <c r="D84" s="558"/>
      <c r="E84" s="190"/>
      <c r="F84" s="555" t="s">
        <v>795</v>
      </c>
      <c r="G84" s="563" t="s">
        <v>796</v>
      </c>
      <c r="H84" s="564"/>
      <c r="I84" s="560"/>
      <c r="J84" s="190"/>
      <c r="K84" s="190"/>
      <c r="L84" s="190"/>
      <c r="M84" s="190"/>
      <c r="N84" s="190"/>
      <c r="O84" s="190"/>
      <c r="P84" s="190"/>
      <c r="Q84" s="190"/>
      <c r="R84" s="190"/>
      <c r="S84" s="190"/>
      <c r="T84" s="190"/>
      <c r="U84" s="190"/>
      <c r="V84" s="190"/>
      <c r="W84" s="190"/>
      <c r="X84" s="190"/>
      <c r="Y84" s="190"/>
      <c r="Z84" s="190"/>
    </row>
    <row r="85">
      <c r="A85" s="555" t="s">
        <v>799</v>
      </c>
      <c r="B85" s="563" t="s">
        <v>800</v>
      </c>
      <c r="C85" s="557" t="str">
        <f>IFERROR(__xludf.DUMMYFUNCTION("IF(
    ISERROR(
        FILTER(
            'Product Features'!$C:$C,
            'Product Features'!$C:$C = B85,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85" s="558" t="str">
        <f t="array" ref="D85">INDEX('Product Features'!$N$1:$P$1, , MIN(3, MATCH($B$6, {-9E+99, INDEX('Product Features'!$N:$P, MATCH(B85, 'Product Features'!$C:$C, 0), 0) * 1}, 1)))</f>
        <v>TRL 6</v>
      </c>
      <c r="E85" s="190"/>
      <c r="F85" s="555" t="s">
        <v>799</v>
      </c>
      <c r="G85" s="563" t="s">
        <v>800</v>
      </c>
      <c r="H85" s="559">
        <f t="array" ref="H85">INDEX('Product Features'!$M:$M, MATCH(G85, 'Product Features'!$C:$C, 0))</f>
        <v>45901</v>
      </c>
      <c r="I85" s="560">
        <f t="array" ref="I85">INDEX(
    INDEX('Product Features'!$N:$P, MATCH(G85, 'Product Features'!$C:$C, 0), 0),
    MATCH($G$6, 'Product Features'!$N$1:$P$1, 0)
)</f>
        <v>46204</v>
      </c>
      <c r="J85" s="190"/>
      <c r="K85" s="190"/>
      <c r="L85" s="190"/>
      <c r="M85" s="190"/>
      <c r="N85" s="190"/>
      <c r="O85" s="190"/>
      <c r="P85" s="190"/>
      <c r="Q85" s="190"/>
      <c r="R85" s="190"/>
      <c r="S85" s="190"/>
      <c r="T85" s="190"/>
      <c r="U85" s="190"/>
      <c r="V85" s="190"/>
      <c r="W85" s="190"/>
      <c r="X85" s="190"/>
      <c r="Y85" s="190"/>
      <c r="Z85" s="190"/>
    </row>
    <row r="86">
      <c r="A86" s="555"/>
      <c r="B86" s="563"/>
      <c r="C86" s="557" t="str">
        <f>IFERROR(__xludf.DUMMYFUNCTION("IF(
    ISERROR(
        FILTER(
            'Product Features'!$C:$C,
            'Product Features'!$C:$C = B86,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86" s="558" t="str">
        <f t="array" ref="D86">INDEX('Product Features'!$N$1:$P$1, , MIN(3, MATCH($B$6, {-9E+99, INDEX('Product Features'!$N:$P, MATCH(B86, 'Product Features'!$C:$C, 0), 0) * 1}, 1)))</f>
        <v>TRL 3</v>
      </c>
      <c r="E86" s="190"/>
      <c r="F86" s="555"/>
      <c r="G86" s="563"/>
      <c r="H86" s="564" t="str">
        <f t="array" ref="H86">INDEX('Product Features'!$M:$M, MATCH(G86, 'Product Features'!$C:$C, 0))</f>
        <v>#N/A</v>
      </c>
      <c r="I86" s="560" t="str">
        <f t="array" ref="I86">INDEX(
    INDEX('Product Features'!$N:$P, MATCH(G86, 'Product Features'!$C:$C, 0), 0),
    MATCH($G$6, 'Product Features'!$N$1:$P$1, 0)
)</f>
        <v>#N/A</v>
      </c>
      <c r="J86" s="190"/>
      <c r="K86" s="190"/>
      <c r="L86" s="190"/>
      <c r="M86" s="190"/>
      <c r="N86" s="190"/>
      <c r="O86" s="190"/>
      <c r="P86" s="190"/>
      <c r="Q86" s="190"/>
      <c r="R86" s="190"/>
      <c r="S86" s="190"/>
      <c r="T86" s="190"/>
      <c r="U86" s="190"/>
      <c r="V86" s="190"/>
      <c r="W86" s="190"/>
      <c r="X86" s="190"/>
      <c r="Y86" s="190"/>
      <c r="Z86" s="190"/>
    </row>
    <row r="87">
      <c r="A87" s="555" t="s">
        <v>803</v>
      </c>
      <c r="B87" s="563" t="s">
        <v>804</v>
      </c>
      <c r="C87" s="557" t="str">
        <f>IFERROR(__xludf.DUMMYFUNCTION("IF(
    ISERROR(
        FILTER(
            'Product Features'!$C:$C,
            'Product Features'!$C:$C = B87,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87" s="558" t="str">
        <f t="array" ref="D87">INDEX('Product Features'!$N$1:$P$1, , MIN(3, MATCH($B$6, {-9E+99, INDEX('Product Features'!$N:$P, MATCH(B87, 'Product Features'!$C:$C, 0), 0) * 1}, 1)))</f>
        <v>TRL 9</v>
      </c>
      <c r="E87" s="190"/>
      <c r="F87" s="555" t="s">
        <v>803</v>
      </c>
      <c r="G87" s="563" t="s">
        <v>804</v>
      </c>
      <c r="H87" s="559">
        <f t="array" ref="H87">INDEX('Product Features'!$M:$M, MATCH(G87, 'Product Features'!$C:$C, 0))</f>
        <v>45901</v>
      </c>
      <c r="I87" s="560">
        <f t="array" ref="I87">INDEX(
    INDEX('Product Features'!$N:$P, MATCH(G87, 'Product Features'!$C:$C, 0), 0),
    MATCH($G$6, 'Product Features'!$N$1:$P$1, 0)
)</f>
        <v>46113</v>
      </c>
      <c r="J87" s="190"/>
      <c r="K87" s="190"/>
      <c r="L87" s="190"/>
      <c r="M87" s="190"/>
      <c r="N87" s="190"/>
      <c r="O87" s="190"/>
      <c r="P87" s="190"/>
      <c r="Q87" s="190"/>
      <c r="R87" s="190"/>
      <c r="S87" s="190"/>
      <c r="T87" s="190"/>
      <c r="U87" s="190"/>
      <c r="V87" s="190"/>
      <c r="W87" s="190"/>
      <c r="X87" s="190"/>
      <c r="Y87" s="190"/>
      <c r="Z87" s="190"/>
    </row>
    <row r="88">
      <c r="A88" s="555" t="s">
        <v>806</v>
      </c>
      <c r="B88" s="563" t="s">
        <v>807</v>
      </c>
      <c r="C88" s="557" t="str">
        <f>IFERROR(__xludf.DUMMYFUNCTION("IF(
    ISERROR(
        FILTER(
            'Product Features'!$C:$C,
            'Product Features'!$C:$C = B88,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88" s="558" t="str">
        <f t="array" ref="D88">INDEX('Product Features'!$N$1:$P$1, , MIN(3, MATCH($B$6, {-9E+99, INDEX('Product Features'!$N:$P, MATCH(B88, 'Product Features'!$C:$C, 0), 0) * 1}, 1)))</f>
        <v>TRL 6</v>
      </c>
      <c r="E88" s="190"/>
      <c r="F88" s="555" t="s">
        <v>806</v>
      </c>
      <c r="G88" s="563" t="s">
        <v>807</v>
      </c>
      <c r="H88" s="559">
        <f t="array" ref="H88">INDEX('Product Features'!$M:$M, MATCH(G88, 'Product Features'!$C:$C, 0))</f>
        <v>45901</v>
      </c>
      <c r="I88" s="560">
        <f t="array" ref="I88">INDEX(
    INDEX('Product Features'!$N:$P, MATCH(G88, 'Product Features'!$C:$C, 0), 0),
    MATCH($G$6, 'Product Features'!$N$1:$P$1, 0)
)</f>
        <v>46204</v>
      </c>
      <c r="J88" s="190"/>
      <c r="K88" s="190"/>
      <c r="L88" s="190"/>
      <c r="M88" s="190"/>
      <c r="N88" s="190"/>
      <c r="O88" s="190"/>
      <c r="P88" s="190"/>
      <c r="Q88" s="190"/>
      <c r="R88" s="190"/>
      <c r="S88" s="190"/>
      <c r="T88" s="190"/>
      <c r="U88" s="190"/>
      <c r="V88" s="190"/>
      <c r="W88" s="190"/>
      <c r="X88" s="190"/>
      <c r="Y88" s="190"/>
      <c r="Z88" s="190"/>
    </row>
    <row r="89">
      <c r="A89" s="555" t="s">
        <v>809</v>
      </c>
      <c r="B89" s="563" t="s">
        <v>810</v>
      </c>
      <c r="C89" s="557"/>
      <c r="D89" s="558"/>
      <c r="E89" s="190"/>
      <c r="F89" s="555" t="s">
        <v>809</v>
      </c>
      <c r="G89" s="563" t="s">
        <v>810</v>
      </c>
      <c r="H89" s="564"/>
      <c r="I89" s="560"/>
      <c r="J89" s="190"/>
      <c r="K89" s="190"/>
      <c r="L89" s="190"/>
      <c r="M89" s="190"/>
      <c r="N89" s="190"/>
      <c r="O89" s="190"/>
      <c r="P89" s="190"/>
      <c r="Q89" s="190"/>
      <c r="R89" s="190"/>
      <c r="S89" s="190"/>
      <c r="T89" s="190"/>
      <c r="U89" s="190"/>
      <c r="V89" s="190"/>
      <c r="W89" s="190"/>
      <c r="X89" s="190"/>
      <c r="Y89" s="190"/>
      <c r="Z89" s="190"/>
    </row>
    <row r="90">
      <c r="A90" s="555" t="s">
        <v>811</v>
      </c>
      <c r="B90" s="563" t="s">
        <v>812</v>
      </c>
      <c r="C90" s="557" t="str">
        <f>IFERROR(__xludf.DUMMYFUNCTION("IF(
    ISERROR(
        FILTER(
            'Product Features'!$C:$C,
            'Product Features'!$C:$C = B90,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90" s="558" t="str">
        <f t="array" ref="D90">INDEX('Product Features'!$N$1:$P$1, , MIN(3, MATCH($B$6, {-9E+99, INDEX('Product Features'!$N:$P, MATCH(B90, 'Product Features'!$C:$C, 0), 0) * 1}, 1)))</f>
        <v>TRL 6</v>
      </c>
      <c r="E90" s="190"/>
      <c r="F90" s="555" t="s">
        <v>811</v>
      </c>
      <c r="G90" s="563" t="s">
        <v>812</v>
      </c>
      <c r="H90" s="559">
        <f t="array" ref="H90">INDEX('Product Features'!$M:$M, MATCH(G90, 'Product Features'!$C:$C, 0))</f>
        <v>45901</v>
      </c>
      <c r="I90" s="560">
        <f t="array" ref="I90">INDEX(
    INDEX('Product Features'!$N:$P, MATCH(G90, 'Product Features'!$C:$C, 0), 0),
    MATCH($G$6, 'Product Features'!$N$1:$P$1, 0)
)</f>
        <v>46204</v>
      </c>
      <c r="J90" s="190"/>
      <c r="K90" s="190"/>
      <c r="L90" s="190"/>
      <c r="M90" s="190"/>
      <c r="N90" s="190"/>
      <c r="O90" s="190"/>
      <c r="P90" s="190"/>
      <c r="Q90" s="190"/>
      <c r="R90" s="190"/>
      <c r="S90" s="190"/>
      <c r="T90" s="190"/>
      <c r="U90" s="190"/>
      <c r="V90" s="190"/>
      <c r="W90" s="190"/>
      <c r="X90" s="190"/>
      <c r="Y90" s="190"/>
      <c r="Z90" s="190"/>
    </row>
    <row r="91">
      <c r="A91" s="555"/>
      <c r="B91" s="563"/>
      <c r="C91" s="557" t="str">
        <f>IFERROR(__xludf.DUMMYFUNCTION("IF(
    ISERROR(
        FILTER(
            'Product Features'!$C:$C,
            'Product Features'!$C:$C = B91,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91" s="558" t="str">
        <f t="array" ref="D91">INDEX('Product Features'!$N$1:$P$1, , MIN(3, MATCH($B$6, {-9E+99, INDEX('Product Features'!$N:$P, MATCH(B91, 'Product Features'!$C:$C, 0), 0) * 1}, 1)))</f>
        <v>TRL 3</v>
      </c>
      <c r="E91" s="190"/>
      <c r="F91" s="555"/>
      <c r="G91" s="563"/>
      <c r="H91" s="564" t="str">
        <f t="array" ref="H91">INDEX('Product Features'!$M:$M, MATCH(G91, 'Product Features'!$C:$C, 0))</f>
        <v>#N/A</v>
      </c>
      <c r="I91" s="560" t="str">
        <f t="array" ref="I91">INDEX(
    INDEX('Product Features'!$N:$P, MATCH(G91, 'Product Features'!$C:$C, 0), 0),
    MATCH($G$6, 'Product Features'!$N$1:$P$1, 0)
)</f>
        <v>#N/A</v>
      </c>
      <c r="J91" s="190"/>
      <c r="K91" s="190"/>
      <c r="L91" s="190"/>
      <c r="M91" s="190"/>
      <c r="N91" s="190"/>
      <c r="O91" s="190"/>
      <c r="P91" s="190"/>
      <c r="Q91" s="190"/>
      <c r="R91" s="190"/>
      <c r="S91" s="190"/>
      <c r="T91" s="190"/>
      <c r="U91" s="190"/>
      <c r="V91" s="190"/>
      <c r="W91" s="190"/>
      <c r="X91" s="190"/>
      <c r="Y91" s="190"/>
      <c r="Z91" s="190"/>
    </row>
    <row r="92">
      <c r="A92" s="555" t="s">
        <v>814</v>
      </c>
      <c r="B92" s="563" t="s">
        <v>815</v>
      </c>
      <c r="C92" s="557" t="str">
        <f>IFERROR(__xludf.DUMMYFUNCTION("IF(
    ISERROR(
        FILTER(
            'Product Features'!$C:$C,
            'Product Features'!$C:$C = B92,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92" s="558" t="str">
        <f t="array" ref="D92">INDEX('Product Features'!$N$1:$P$1, , MIN(3, MATCH($B$6, {-9E+99, INDEX('Product Features'!$N:$P, MATCH(B92, 'Product Features'!$C:$C, 0), 0) * 1}, 1)))</f>
        <v>TRL 9</v>
      </c>
      <c r="E92" s="190"/>
      <c r="F92" s="555" t="s">
        <v>814</v>
      </c>
      <c r="G92" s="563" t="s">
        <v>815</v>
      </c>
      <c r="H92" s="559">
        <f t="array" ref="H92">INDEX('Product Features'!$M:$M, MATCH(G92, 'Product Features'!$C:$C, 0))</f>
        <v>45901</v>
      </c>
      <c r="I92" s="560">
        <f t="array" ref="I92">INDEX(
    INDEX('Product Features'!$N:$P, MATCH(G92, 'Product Features'!$C:$C, 0), 0),
    MATCH($G$6, 'Product Features'!$N$1:$P$1, 0)
)</f>
        <v>46113</v>
      </c>
      <c r="J92" s="190"/>
      <c r="K92" s="190"/>
      <c r="L92" s="190"/>
      <c r="M92" s="190"/>
      <c r="N92" s="190"/>
      <c r="O92" s="190"/>
      <c r="P92" s="190"/>
      <c r="Q92" s="190"/>
      <c r="R92" s="190"/>
      <c r="S92" s="190"/>
      <c r="T92" s="190"/>
      <c r="U92" s="190"/>
      <c r="V92" s="190"/>
      <c r="W92" s="190"/>
      <c r="X92" s="190"/>
      <c r="Y92" s="190"/>
      <c r="Z92" s="190"/>
    </row>
    <row r="93">
      <c r="A93" s="555" t="s">
        <v>818</v>
      </c>
      <c r="B93" s="563" t="s">
        <v>819</v>
      </c>
      <c r="C93" s="557" t="str">
        <f>IFERROR(__xludf.DUMMYFUNCTION("IF(
    ISERROR(
        FILTER(
            'Product Features'!$C:$C,
            'Product Features'!$C:$C = B93,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93" s="558" t="str">
        <f t="array" ref="D93">INDEX('Product Features'!$N$1:$P$1, , MIN(3, MATCH($B$6, {-9E+99, INDEX('Product Features'!$N:$P, MATCH(B93, 'Product Features'!$C:$C, 0), 0) * 1}, 1)))</f>
        <v>TRL 9</v>
      </c>
      <c r="E93" s="190"/>
      <c r="F93" s="555" t="s">
        <v>818</v>
      </c>
      <c r="G93" s="563" t="s">
        <v>819</v>
      </c>
      <c r="H93" s="559" t="str">
        <f t="array" ref="H93">INDEX('Product Features'!$M:$M, MATCH(G93, 'Product Features'!$C:$C, 0))</f>
        <v/>
      </c>
      <c r="I93" s="560" t="str">
        <f t="array" ref="I93">INDEX(
    INDEX('Product Features'!$N:$P, MATCH(G93, 'Product Features'!$C:$C, 0), 0),
    MATCH($G$6, 'Product Features'!$N$1:$P$1, 0)
)</f>
        <v/>
      </c>
      <c r="J93" s="190"/>
      <c r="K93" s="190"/>
      <c r="L93" s="190"/>
      <c r="M93" s="190"/>
      <c r="N93" s="190"/>
      <c r="O93" s="190"/>
      <c r="P93" s="190"/>
      <c r="Q93" s="190"/>
      <c r="R93" s="190"/>
      <c r="S93" s="190"/>
      <c r="T93" s="190"/>
      <c r="U93" s="190"/>
      <c r="V93" s="190"/>
      <c r="W93" s="190"/>
      <c r="X93" s="190"/>
      <c r="Y93" s="190"/>
      <c r="Z93" s="190"/>
    </row>
    <row r="94">
      <c r="A94" s="555" t="s">
        <v>821</v>
      </c>
      <c r="B94" s="563" t="s">
        <v>822</v>
      </c>
      <c r="C94" s="557" t="str">
        <f>IFERROR(__xludf.DUMMYFUNCTION("IF(
    ISERROR(
        FILTER(
            'Product Features'!$C:$C,
            'Product Features'!$C:$C = B94,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94" s="558" t="str">
        <f t="array" ref="D94">INDEX('Product Features'!$N$1:$P$1, , MIN(3, MATCH($B$6, {-9E+99, INDEX('Product Features'!$N:$P, MATCH(B94, 'Product Features'!$C:$C, 0), 0) * 1}, 1)))</f>
        <v>TRL 9</v>
      </c>
      <c r="E94" s="190"/>
      <c r="F94" s="555" t="s">
        <v>821</v>
      </c>
      <c r="G94" s="563" t="s">
        <v>822</v>
      </c>
      <c r="H94" s="559" t="str">
        <f t="array" ref="H94">INDEX('Product Features'!$M:$M, MATCH(G94, 'Product Features'!$C:$C, 0))</f>
        <v/>
      </c>
      <c r="I94" s="560" t="str">
        <f t="array" ref="I94">INDEX(
    INDEX('Product Features'!$N:$P, MATCH(G94, 'Product Features'!$C:$C, 0), 0),
    MATCH($G$6, 'Product Features'!$N$1:$P$1, 0)
)</f>
        <v/>
      </c>
      <c r="J94" s="190"/>
      <c r="K94" s="190"/>
      <c r="L94" s="190"/>
      <c r="M94" s="190"/>
      <c r="N94" s="190"/>
      <c r="O94" s="190"/>
      <c r="P94" s="190"/>
      <c r="Q94" s="190"/>
      <c r="R94" s="190"/>
      <c r="S94" s="190"/>
      <c r="T94" s="190"/>
      <c r="U94" s="190"/>
      <c r="V94" s="190"/>
      <c r="W94" s="190"/>
      <c r="X94" s="190"/>
      <c r="Y94" s="190"/>
      <c r="Z94" s="190"/>
    </row>
    <row r="95">
      <c r="A95" s="555" t="s">
        <v>823</v>
      </c>
      <c r="B95" s="563" t="s">
        <v>824</v>
      </c>
      <c r="C95" s="557"/>
      <c r="D95" s="558"/>
      <c r="E95" s="190"/>
      <c r="F95" s="555" t="s">
        <v>823</v>
      </c>
      <c r="G95" s="563" t="s">
        <v>824</v>
      </c>
      <c r="H95" s="564"/>
      <c r="I95" s="560"/>
      <c r="J95" s="190"/>
      <c r="K95" s="190"/>
      <c r="L95" s="190"/>
      <c r="M95" s="190"/>
      <c r="N95" s="190"/>
      <c r="O95" s="190"/>
      <c r="P95" s="190"/>
      <c r="Q95" s="190"/>
      <c r="R95" s="190"/>
      <c r="S95" s="190"/>
      <c r="T95" s="190"/>
      <c r="U95" s="190"/>
      <c r="V95" s="190"/>
      <c r="W95" s="190"/>
      <c r="X95" s="190"/>
      <c r="Y95" s="190"/>
      <c r="Z95" s="190"/>
    </row>
    <row r="96">
      <c r="A96" s="555" t="s">
        <v>827</v>
      </c>
      <c r="B96" s="563" t="s">
        <v>828</v>
      </c>
      <c r="C96" s="557" t="str">
        <f>IFERROR(__xludf.DUMMYFUNCTION("IF(
    ISERROR(
        FILTER(
            'Product Features'!$C:$C,
            'Product Features'!$C:$C = B96,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96" s="558" t="str">
        <f t="array" ref="D96">INDEX('Product Features'!$N$1:$P$1, , MIN(3, MATCH($B$6, {-9E+99, INDEX('Product Features'!$N:$P, MATCH(B96, 'Product Features'!$C:$C, 0), 0) * 1}, 1)))</f>
        <v>TRL 9</v>
      </c>
      <c r="E96" s="190"/>
      <c r="F96" s="555" t="s">
        <v>827</v>
      </c>
      <c r="G96" s="563" t="s">
        <v>828</v>
      </c>
      <c r="H96" s="559" t="str">
        <f t="array" ref="H96">INDEX('Product Features'!$M:$M, MATCH(G96, 'Product Features'!$C:$C, 0))</f>
        <v/>
      </c>
      <c r="I96" s="560" t="str">
        <f t="array" ref="I96">INDEX(
    INDEX('Product Features'!$N:$P, MATCH(G96, 'Product Features'!$C:$C, 0), 0),
    MATCH($G$6, 'Product Features'!$N$1:$P$1, 0)
)</f>
        <v/>
      </c>
      <c r="J96" s="190"/>
      <c r="K96" s="190"/>
      <c r="L96" s="190"/>
      <c r="M96" s="190"/>
      <c r="N96" s="190"/>
      <c r="O96" s="190"/>
      <c r="P96" s="190"/>
      <c r="Q96" s="190"/>
      <c r="R96" s="190"/>
      <c r="S96" s="190"/>
      <c r="T96" s="190"/>
      <c r="U96" s="190"/>
      <c r="V96" s="190"/>
      <c r="W96" s="190"/>
      <c r="X96" s="190"/>
      <c r="Y96" s="190"/>
      <c r="Z96" s="190"/>
    </row>
    <row r="97">
      <c r="A97" s="555"/>
      <c r="B97" s="563"/>
      <c r="C97" s="557" t="str">
        <f>IFERROR(__xludf.DUMMYFUNCTION("IF(
    ISERROR(
        FILTER(
            'Product Features'!$C:$C,
            'Product Features'!$C:$C = B97,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97" s="558" t="str">
        <f t="array" ref="D97">INDEX('Product Features'!$N$1:$P$1, , MIN(3, MATCH($B$6, {-9E+99, INDEX('Product Features'!$N:$P, MATCH(B97, 'Product Features'!$C:$C, 0), 0) * 1}, 1)))</f>
        <v>TRL 3</v>
      </c>
      <c r="E97" s="190"/>
      <c r="F97" s="555"/>
      <c r="G97" s="563"/>
      <c r="H97" s="564" t="str">
        <f t="array" ref="H97">INDEX('Product Features'!$M:$M, MATCH(G97, 'Product Features'!$C:$C, 0))</f>
        <v>#N/A</v>
      </c>
      <c r="I97" s="560" t="str">
        <f t="array" ref="I97">INDEX(
    INDEX('Product Features'!$N:$P, MATCH(G97, 'Product Features'!$C:$C, 0), 0),
    MATCH($G$6, 'Product Features'!$N$1:$P$1, 0)
)</f>
        <v>#N/A</v>
      </c>
      <c r="J97" s="190"/>
      <c r="K97" s="190"/>
      <c r="L97" s="190"/>
      <c r="M97" s="190"/>
      <c r="N97" s="190"/>
      <c r="O97" s="190"/>
      <c r="P97" s="190"/>
      <c r="Q97" s="190"/>
      <c r="R97" s="190"/>
      <c r="S97" s="190"/>
      <c r="T97" s="190"/>
      <c r="U97" s="190"/>
      <c r="V97" s="190"/>
      <c r="W97" s="190"/>
      <c r="X97" s="190"/>
      <c r="Y97" s="190"/>
      <c r="Z97" s="190"/>
    </row>
    <row r="98">
      <c r="A98" s="555" t="s">
        <v>830</v>
      </c>
      <c r="B98" s="563" t="s">
        <v>831</v>
      </c>
      <c r="C98" s="557"/>
      <c r="D98" s="558"/>
      <c r="E98" s="190"/>
      <c r="F98" s="555" t="s">
        <v>830</v>
      </c>
      <c r="G98" s="563" t="s">
        <v>831</v>
      </c>
      <c r="H98" s="564"/>
      <c r="I98" s="560"/>
      <c r="J98" s="190"/>
      <c r="K98" s="190"/>
      <c r="L98" s="190"/>
      <c r="M98" s="190"/>
      <c r="N98" s="190"/>
      <c r="O98" s="190"/>
      <c r="P98" s="190"/>
      <c r="Q98" s="190"/>
      <c r="R98" s="190"/>
      <c r="S98" s="190"/>
      <c r="T98" s="190"/>
      <c r="U98" s="190"/>
      <c r="V98" s="190"/>
      <c r="W98" s="190"/>
      <c r="X98" s="190"/>
      <c r="Y98" s="190"/>
      <c r="Z98" s="190"/>
    </row>
    <row r="99">
      <c r="A99" s="555" t="s">
        <v>833</v>
      </c>
      <c r="B99" s="563" t="s">
        <v>834</v>
      </c>
      <c r="C99" s="557" t="str">
        <f>IFERROR(__xludf.DUMMYFUNCTION("IF(
    ISERROR(
        FILTER(
            'Product Features'!$C:$C,
            'Product Features'!$C:$C = B99,
            ('Product Features'!$D:$D = $B$2) + ('Product Features'!$D:$D = ""N/A"") &gt; 0,
            (
                (REGEXEXTRACT('Produ"&amp;"ct Features'!$E:$E,""-(\d+\.?\d*)$"") &gt;= REGEXEXTRACT($B$3,""-(\d+\.?\d*)$"")) +
                ((REGEXMATCH($B$3, ""^(\w+-)+\d+$"")) * (LEFT('Product Features'!$E:$E, LEN($B$3)) = $B$3))
            ) &gt; 0,
            (
                (REGEXEXTRACT('Pr"&amp;"oduct Features'!$F:$F,""-(\d+\.?\d*)$"") &gt;= REGEXEXTRACT($B$4,""-(\d+\.?\d*)$"")) +
                ((REGEXMATCH($B$4, ""^(\w+-)+\d+$"")) * (LEFT('Product Features'!$F:$F, LEN($B$4)) = $B$4))
            ) &gt; 0,
            (
                IFERROR((REGEX"&amp;"EXTRACT('Product Features'!$G:$G,""-(\d+\.?\d*)$"") &gt;= REGEXEXTRACT($B$5,""-(\d+\.?\d*)$"")), 0) +
                ((REGEXMATCH($B$5, ""^(\w+-)+\d+$"")) * (LEFT('Product Features'!$G:$G, LEN($B$5)) = $B$5)) +
                ('Product Features'!$G:$G = """&amp;"N/A"") + ($B$5 = ""N/A"")
            ) &gt; 0
        )
    ),
    ""NO"",
    ""YES""
)"),"YES")</f>
        <v>YES</v>
      </c>
      <c r="D99" s="558" t="str">
        <f t="array" ref="D99">INDEX('Product Features'!$N$1:$P$1, , MIN(3, MATCH($B$6, {-9E+99, INDEX('Product Features'!$N:$P, MATCH(B99, 'Product Features'!$C:$C, 0), 0) * 1}, 1)))</f>
        <v>TRL 6</v>
      </c>
      <c r="E99" s="190"/>
      <c r="F99" s="555" t="s">
        <v>833</v>
      </c>
      <c r="G99" s="563" t="s">
        <v>834</v>
      </c>
      <c r="H99" s="559">
        <f t="array" ref="H99">INDEX('Product Features'!$M:$M, MATCH(G99, 'Product Features'!$C:$C, 0))</f>
        <v>45901</v>
      </c>
      <c r="I99" s="560">
        <f t="array" ref="I99">INDEX(
    INDEX('Product Features'!$N:$P, MATCH(G99, 'Product Features'!$C:$C, 0), 0),
    MATCH($G$6, 'Product Features'!$N$1:$P$1, 0)
)</f>
        <v>46204</v>
      </c>
      <c r="J99" s="190"/>
      <c r="K99" s="190"/>
      <c r="L99" s="190"/>
      <c r="M99" s="190"/>
      <c r="N99" s="190"/>
      <c r="O99" s="190"/>
      <c r="P99" s="190"/>
      <c r="Q99" s="190"/>
      <c r="R99" s="190"/>
      <c r="S99" s="190"/>
      <c r="T99" s="190"/>
      <c r="U99" s="190"/>
      <c r="V99" s="190"/>
      <c r="W99" s="190"/>
      <c r="X99" s="190"/>
      <c r="Y99" s="190"/>
      <c r="Z99" s="190"/>
    </row>
    <row r="100">
      <c r="A100" s="555"/>
      <c r="B100" s="563"/>
      <c r="C100" s="557" t="str">
        <f>IFERROR(__xludf.DUMMYFUNCTION("IF(
    ISERROR(
        FILTER(
            'Product Features'!$C:$C,
            'Product Features'!$C:$C = B100,
            ('Product Features'!$D:$D = $B$2) + ('Product Features'!$D:$D = ""N/A"") &gt; 0,
            (
                (REGEXEXTRACT('Prod"&amp;"uct Features'!$E:$E,""-(\d+\.?\d*)$"") &gt;= REGEXEXTRACT($B$3,""-(\d+\.?\d*)$"")) +
                ((REGEXMATCH($B$3, ""^(\w+-)+\d+$"")) * (LEFT('Product Features'!$E:$E, LEN($B$3)) = $B$3))
            ) &gt; 0,
            (
                (REGEXEXTRACT('P"&amp;"roduct Features'!$F:$F,""-(\d+\.?\d*)$"") &gt;= REGEXEXTRACT($B$4,""-(\d+\.?\d*)$"")) +
                ((REGEXMATCH($B$4, ""^(\w+-)+\d+$"")) * (LEFT('Product Features'!$F:$F, LEN($B$4)) = $B$4))
            ) &gt; 0,
            (
                IFERROR((REGE"&amp;"XEXTRACT('Product Features'!$G:$G,""-(\d+\.?\d*)$"") &gt;= REGEXEXTRACT($B$5,""-(\d+\.?\d*)$"")), 0) +
                ((REGEXMATCH($B$5, ""^(\w+-)+\d+$"")) * (LEFT('Product Features'!$G:$G, LEN($B$5)) = $B$5)) +
                ('Product Features'!$G:$G = "&amp;"""N/A"") + ($B$5 = ""N/A"")
            ) &gt; 0
        )
    ),
    ""NO"",
    ""YES""
)"),"YES")</f>
        <v>YES</v>
      </c>
      <c r="D100" s="558" t="str">
        <f t="array" ref="D100">INDEX('Product Features'!$N$1:$P$1, , MIN(3, MATCH($B$6, {-9E+99, INDEX('Product Features'!$N:$P, MATCH(B100, 'Product Features'!$C:$C, 0), 0) * 1}, 1)))</f>
        <v>TRL 3</v>
      </c>
      <c r="E100" s="190"/>
      <c r="F100" s="555"/>
      <c r="G100" s="563"/>
      <c r="H100" s="564" t="str">
        <f t="array" ref="H100">INDEX('Product Features'!$M:$M, MATCH(G100, 'Product Features'!$C:$C, 0))</f>
        <v>#N/A</v>
      </c>
      <c r="I100" s="560" t="str">
        <f t="array" ref="I100">INDEX(
    INDEX('Product Features'!$N:$P, MATCH(G100, 'Product Features'!$C:$C, 0), 0),
    MATCH($G$6, 'Product Features'!$N$1:$P$1, 0)
)</f>
        <v>#N/A</v>
      </c>
      <c r="J100" s="190"/>
      <c r="K100" s="190"/>
      <c r="L100" s="190"/>
      <c r="M100" s="190"/>
      <c r="N100" s="190"/>
      <c r="O100" s="190"/>
      <c r="P100" s="190"/>
      <c r="Q100" s="190"/>
      <c r="R100" s="190"/>
      <c r="S100" s="190"/>
      <c r="T100" s="190"/>
      <c r="U100" s="190"/>
      <c r="V100" s="190"/>
      <c r="W100" s="190"/>
      <c r="X100" s="190"/>
      <c r="Y100" s="190"/>
      <c r="Z100" s="190"/>
    </row>
    <row r="101">
      <c r="A101" s="555" t="s">
        <v>837</v>
      </c>
      <c r="B101" s="563" t="s">
        <v>838</v>
      </c>
      <c r="C101" s="557" t="str">
        <f>IFERROR(__xludf.DUMMYFUNCTION("IF(
    ISERROR(
        FILTER(
            'Product Features'!$C:$C,
            'Product Features'!$C:$C = B101,
            ('Product Features'!$D:$D = $B$2) + ('Product Features'!$D:$D = ""N/A"") &gt; 0,
            (
                (REGEXEXTRACT('Prod"&amp;"uct Features'!$E:$E,""-(\d+\.?\d*)$"") &gt;= REGEXEXTRACT($B$3,""-(\d+\.?\d*)$"")) +
                ((REGEXMATCH($B$3, ""^(\w+-)+\d+$"")) * (LEFT('Product Features'!$E:$E, LEN($B$3)) = $B$3))
            ) &gt; 0,
            (
                (REGEXEXTRACT('P"&amp;"roduct Features'!$F:$F,""-(\d+\.?\d*)$"") &gt;= REGEXEXTRACT($B$4,""-(\d+\.?\d*)$"")) +
                ((REGEXMATCH($B$4, ""^(\w+-)+\d+$"")) * (LEFT('Product Features'!$F:$F, LEN($B$4)) = $B$4))
            ) &gt; 0,
            (
                IFERROR((REGE"&amp;"XEXTRACT('Product Features'!$G:$G,""-(\d+\.?\d*)$"") &gt;= REGEXEXTRACT($B$5,""-(\d+\.?\d*)$"")), 0) +
                ((REGEXMATCH($B$5, ""^(\w+-)+\d+$"")) * (LEFT('Product Features'!$G:$G, LEN($B$5)) = $B$5)) +
                ('Product Features'!$G:$G = "&amp;"""N/A"") + ($B$5 = ""N/A"")
            ) &gt; 0
        )
    ),
    ""NO"",
    ""YES""
)"),"NO")</f>
        <v>NO</v>
      </c>
      <c r="D101" s="558" t="str">
        <f t="array" ref="D101">INDEX('Product Features'!$N$1:$P$1, , MIN(3, MATCH($B$6, {-9E+99, INDEX('Product Features'!$N:$P, MATCH(B101, 'Product Features'!$C:$C, 0), 0) * 1}, 1)))</f>
        <v>TRL 6</v>
      </c>
      <c r="E101" s="190"/>
      <c r="F101" s="555" t="s">
        <v>837</v>
      </c>
      <c r="G101" s="563" t="s">
        <v>838</v>
      </c>
      <c r="H101" s="559">
        <f t="array" ref="H101">INDEX('Product Features'!$M:$M, MATCH(G101, 'Product Features'!$C:$C, 0))</f>
        <v>45931</v>
      </c>
      <c r="I101" s="560">
        <f t="array" ref="I101">INDEX(
    INDEX('Product Features'!$N:$P, MATCH(G101, 'Product Features'!$C:$C, 0), 0),
    MATCH($G$6, 'Product Features'!$N$1:$P$1, 0)
)</f>
        <v>46204</v>
      </c>
      <c r="J101" s="190"/>
      <c r="K101" s="190"/>
      <c r="L101" s="190"/>
      <c r="M101" s="190"/>
      <c r="N101" s="190"/>
      <c r="O101" s="190"/>
      <c r="P101" s="190"/>
      <c r="Q101" s="190"/>
      <c r="R101" s="190"/>
      <c r="S101" s="190"/>
      <c r="T101" s="190"/>
      <c r="U101" s="190"/>
      <c r="V101" s="190"/>
      <c r="W101" s="190"/>
      <c r="X101" s="190"/>
      <c r="Y101" s="190"/>
      <c r="Z101" s="190"/>
    </row>
    <row r="102">
      <c r="A102" s="555" t="s">
        <v>841</v>
      </c>
      <c r="B102" s="563" t="s">
        <v>842</v>
      </c>
      <c r="C102" s="557" t="str">
        <f>IFERROR(__xludf.DUMMYFUNCTION("IF(
    ISERROR(
        FILTER(
            'Product Features'!$C:$C,
            'Product Features'!$C:$C = B102,
            ('Product Features'!$D:$D = $B$2) + ('Product Features'!$D:$D = ""N/A"") &gt; 0,
            (
                (REGEXEXTRACT('Prod"&amp;"uct Features'!$E:$E,""-(\d+\.?\d*)$"") &gt;= REGEXEXTRACT($B$3,""-(\d+\.?\d*)$"")) +
                ((REGEXMATCH($B$3, ""^(\w+-)+\d+$"")) * (LEFT('Product Features'!$E:$E, LEN($B$3)) = $B$3))
            ) &gt; 0,
            (
                (REGEXEXTRACT('P"&amp;"roduct Features'!$F:$F,""-(\d+\.?\d*)$"") &gt;= REGEXEXTRACT($B$4,""-(\d+\.?\d*)$"")) +
                ((REGEXMATCH($B$4, ""^(\w+-)+\d+$"")) * (LEFT('Product Features'!$F:$F, LEN($B$4)) = $B$4))
            ) &gt; 0,
            (
                IFERROR((REGE"&amp;"XEXTRACT('Product Features'!$G:$G,""-(\d+\.?\d*)$"") &gt;= REGEXEXTRACT($B$5,""-(\d+\.?\d*)$"")), 0) +
                ((REGEXMATCH($B$5, ""^(\w+-)+\d+$"")) * (LEFT('Product Features'!$G:$G, LEN($B$5)) = $B$5)) +
                ('Product Features'!$G:$G = "&amp;"""N/A"") + ($B$5 = ""N/A"")
            ) &gt; 0
        )
    ),
    ""NO"",
    ""YES""
)"),"NO")</f>
        <v>NO</v>
      </c>
      <c r="D102" s="558" t="str">
        <f t="array" ref="D102">INDEX('Product Features'!$N$1:$P$1, , MIN(3, MATCH($B$6, {-9E+99, INDEX('Product Features'!$N:$P, MATCH(B102, 'Product Features'!$C:$C, 0), 0) * 1}, 1)))</f>
        <v>TRL 6</v>
      </c>
      <c r="E102" s="190"/>
      <c r="F102" s="555" t="s">
        <v>841</v>
      </c>
      <c r="G102" s="563" t="s">
        <v>842</v>
      </c>
      <c r="H102" s="559">
        <f t="array" ref="H102">INDEX('Product Features'!$M:$M, MATCH(G102, 'Product Features'!$C:$C, 0))</f>
        <v>45931</v>
      </c>
      <c r="I102" s="560">
        <f t="array" ref="I102">INDEX(
    INDEX('Product Features'!$N:$P, MATCH(G102, 'Product Features'!$C:$C, 0), 0),
    MATCH($G$6, 'Product Features'!$N$1:$P$1, 0)
)</f>
        <v>46204</v>
      </c>
      <c r="J102" s="190"/>
      <c r="K102" s="190"/>
      <c r="L102" s="190"/>
      <c r="M102" s="190"/>
      <c r="N102" s="190"/>
      <c r="O102" s="190"/>
      <c r="P102" s="190"/>
      <c r="Q102" s="190"/>
      <c r="R102" s="190"/>
      <c r="S102" s="190"/>
      <c r="T102" s="190"/>
      <c r="U102" s="190"/>
      <c r="V102" s="190"/>
      <c r="W102" s="190"/>
      <c r="X102" s="190"/>
      <c r="Y102" s="190"/>
      <c r="Z102" s="190"/>
    </row>
    <row r="103">
      <c r="A103" s="555" t="s">
        <v>845</v>
      </c>
      <c r="B103" s="563" t="s">
        <v>846</v>
      </c>
      <c r="C103" s="557"/>
      <c r="D103" s="558"/>
      <c r="E103" s="190"/>
      <c r="F103" s="555" t="s">
        <v>845</v>
      </c>
      <c r="G103" s="563" t="s">
        <v>846</v>
      </c>
      <c r="H103" s="564"/>
      <c r="I103" s="560"/>
      <c r="J103" s="190"/>
      <c r="K103" s="190"/>
      <c r="L103" s="190"/>
      <c r="M103" s="190"/>
      <c r="N103" s="190"/>
      <c r="O103" s="190"/>
      <c r="P103" s="190"/>
      <c r="Q103" s="190"/>
      <c r="R103" s="190"/>
      <c r="S103" s="190"/>
      <c r="T103" s="190"/>
      <c r="U103" s="190"/>
      <c r="V103" s="190"/>
      <c r="W103" s="190"/>
      <c r="X103" s="190"/>
      <c r="Y103" s="190"/>
      <c r="Z103" s="190"/>
    </row>
    <row r="104">
      <c r="A104" s="555" t="s">
        <v>849</v>
      </c>
      <c r="B104" s="563" t="s">
        <v>850</v>
      </c>
      <c r="C104" s="557" t="str">
        <f>IFERROR(__xludf.DUMMYFUNCTION("IF(
    ISERROR(
        FILTER(
            'Product Features'!$C:$C,
            'Product Features'!$C:$C = B104,
            ('Product Features'!$D:$D = $B$2) + ('Product Features'!$D:$D = ""N/A"") &gt; 0,
            (
                (REGEXEXTRACT('Prod"&amp;"uct Features'!$E:$E,""-(\d+\.?\d*)$"") &gt;= REGEXEXTRACT($B$3,""-(\d+\.?\d*)$"")) +
                ((REGEXMATCH($B$3, ""^(\w+-)+\d+$"")) * (LEFT('Product Features'!$E:$E, LEN($B$3)) = $B$3))
            ) &gt; 0,
            (
                (REGEXEXTRACT('P"&amp;"roduct Features'!$F:$F,""-(\d+\.?\d*)$"") &gt;= REGEXEXTRACT($B$4,""-(\d+\.?\d*)$"")) +
                ((REGEXMATCH($B$4, ""^(\w+-)+\d+$"")) * (LEFT('Product Features'!$F:$F, LEN($B$4)) = $B$4))
            ) &gt; 0,
            (
                IFERROR((REGE"&amp;"XEXTRACT('Product Features'!$G:$G,""-(\d+\.?\d*)$"") &gt;= REGEXEXTRACT($B$5,""-(\d+\.?\d*)$"")), 0) +
                ((REGEXMATCH($B$5, ""^(\w+-)+\d+$"")) * (LEFT('Product Features'!$G:$G, LEN($B$5)) = $B$5)) +
                ('Product Features'!$G:$G = "&amp;"""N/A"") + ($B$5 = ""N/A"")
            ) &gt; 0
        )
    ),
    ""NO"",
    ""YES""
)"),"NO")</f>
        <v>NO</v>
      </c>
      <c r="D104" s="558" t="str">
        <f t="array" ref="D104">INDEX('Product Features'!$N$1:$P$1, , MIN(3, MATCH($B$6, {-9E+99, INDEX('Product Features'!$N:$P, MATCH(B104, 'Product Features'!$C:$C, 0), 0) * 1}, 1)))</f>
        <v>TRL 9</v>
      </c>
      <c r="E104" s="190"/>
      <c r="F104" s="555" t="s">
        <v>849</v>
      </c>
      <c r="G104" s="563" t="s">
        <v>850</v>
      </c>
      <c r="H104" s="559" t="str">
        <f t="array" ref="H104">INDEX('Product Features'!$M:$M, MATCH(G104, 'Product Features'!$C:$C, 0))</f>
        <v/>
      </c>
      <c r="I104" s="560" t="str">
        <f t="array" ref="I104">INDEX(
    INDEX('Product Features'!$N:$P, MATCH(G104, 'Product Features'!$C:$C, 0), 0),
    MATCH($G$6, 'Product Features'!$N$1:$P$1, 0)
)</f>
        <v/>
      </c>
      <c r="J104" s="190"/>
      <c r="K104" s="190"/>
      <c r="L104" s="190"/>
      <c r="M104" s="190"/>
      <c r="N104" s="190"/>
      <c r="O104" s="190"/>
      <c r="P104" s="190"/>
      <c r="Q104" s="190"/>
      <c r="R104" s="190"/>
      <c r="S104" s="190"/>
      <c r="T104" s="190"/>
      <c r="U104" s="190"/>
      <c r="V104" s="190"/>
      <c r="W104" s="190"/>
      <c r="X104" s="190"/>
      <c r="Y104" s="190"/>
      <c r="Z104" s="190"/>
    </row>
    <row r="105">
      <c r="A105" s="555"/>
      <c r="B105" s="563"/>
      <c r="C105" s="557" t="str">
        <f>IFERROR(__xludf.DUMMYFUNCTION("IF(
    ISERROR(
        FILTER(
            'Product Features'!$C:$C,
            'Product Features'!$C:$C = B105,
            ('Product Features'!$D:$D = $B$2) + ('Product Features'!$D:$D = ""N/A"") &gt; 0,
            (
                (REGEXEXTRACT('Prod"&amp;"uct Features'!$E:$E,""-(\d+\.?\d*)$"") &gt;= REGEXEXTRACT($B$3,""-(\d+\.?\d*)$"")) +
                ((REGEXMATCH($B$3, ""^(\w+-)+\d+$"")) * (LEFT('Product Features'!$E:$E, LEN($B$3)) = $B$3))
            ) &gt; 0,
            (
                (REGEXEXTRACT('P"&amp;"roduct Features'!$F:$F,""-(\d+\.?\d*)$"") &gt;= REGEXEXTRACT($B$4,""-(\d+\.?\d*)$"")) +
                ((REGEXMATCH($B$4, ""^(\w+-)+\d+$"")) * (LEFT('Product Features'!$F:$F, LEN($B$4)) = $B$4))
            ) &gt; 0,
            (
                IFERROR((REGE"&amp;"XEXTRACT('Product Features'!$G:$G,""-(\d+\.?\d*)$"") &gt;= REGEXEXTRACT($B$5,""-(\d+\.?\d*)$"")), 0) +
                ((REGEXMATCH($B$5, ""^(\w+-)+\d+$"")) * (LEFT('Product Features'!$G:$G, LEN($B$5)) = $B$5)) +
                ('Product Features'!$G:$G = "&amp;"""N/A"") + ($B$5 = ""N/A"")
            ) &gt; 0
        )
    ),
    ""NO"",
    ""YES""
)"),"YES")</f>
        <v>YES</v>
      </c>
      <c r="D105" s="558" t="str">
        <f t="array" ref="D105">INDEX('Product Features'!$N$1:$P$1, , MIN(3, MATCH($B$6, {-9E+99, INDEX('Product Features'!$N:$P, MATCH(B105, 'Product Features'!$C:$C, 0), 0) * 1}, 1)))</f>
        <v>TRL 3</v>
      </c>
      <c r="E105" s="190"/>
      <c r="F105" s="555"/>
      <c r="G105" s="563"/>
      <c r="H105" s="564" t="str">
        <f t="array" ref="H105">INDEX('Product Features'!$M:$M, MATCH(G105, 'Product Features'!$C:$C, 0))</f>
        <v>#N/A</v>
      </c>
      <c r="I105" s="560" t="str">
        <f t="array" ref="I105">INDEX(
    INDEX('Product Features'!$N:$P, MATCH(G105, 'Product Features'!$C:$C, 0), 0),
    MATCH($G$6, 'Product Features'!$N$1:$P$1, 0)
)</f>
        <v>#N/A</v>
      </c>
      <c r="J105" s="190"/>
      <c r="K105" s="190"/>
      <c r="L105" s="190"/>
      <c r="M105" s="190"/>
      <c r="N105" s="190"/>
      <c r="O105" s="190"/>
      <c r="P105" s="190"/>
      <c r="Q105" s="190"/>
      <c r="R105" s="190"/>
      <c r="S105" s="190"/>
      <c r="T105" s="190"/>
      <c r="U105" s="190"/>
      <c r="V105" s="190"/>
      <c r="W105" s="190"/>
      <c r="X105" s="190"/>
      <c r="Y105" s="190"/>
      <c r="Z105" s="190"/>
    </row>
    <row r="106">
      <c r="A106" s="555" t="s">
        <v>853</v>
      </c>
      <c r="B106" s="563" t="s">
        <v>854</v>
      </c>
      <c r="C106" s="557" t="str">
        <f>IFERROR(__xludf.DUMMYFUNCTION("IF(
    ISERROR(
        FILTER(
            'Product Features'!$C:$C,
            'Product Features'!$C:$C = B106,
            ('Product Features'!$D:$D = $B$2) + ('Product Features'!$D:$D = ""N/A"") &gt; 0,
            (
                (REGEXEXTRACT('Prod"&amp;"uct Features'!$E:$E,""-(\d+\.?\d*)$"") &gt;= REGEXEXTRACT($B$3,""-(\d+\.?\d*)$"")) +
                ((REGEXMATCH($B$3, ""^(\w+-)+\d+$"")) * (LEFT('Product Features'!$E:$E, LEN($B$3)) = $B$3))
            ) &gt; 0,
            (
                (REGEXEXTRACT('P"&amp;"roduct Features'!$F:$F,""-(\d+\.?\d*)$"") &gt;= REGEXEXTRACT($B$4,""-(\d+\.?\d*)$"")) +
                ((REGEXMATCH($B$4, ""^(\w+-)+\d+$"")) * (LEFT('Product Features'!$F:$F, LEN($B$4)) = $B$4))
            ) &gt; 0,
            (
                IFERROR((REGE"&amp;"XEXTRACT('Product Features'!$G:$G,""-(\d+\.?\d*)$"") &gt;= REGEXEXTRACT($B$5,""-(\d+\.?\d*)$"")), 0) +
                ((REGEXMATCH($B$5, ""^(\w+-)+\d+$"")) * (LEFT('Product Features'!$G:$G, LEN($B$5)) = $B$5)) +
                ('Product Features'!$G:$G = "&amp;"""N/A"") + ($B$5 = ""N/A"")
            ) &gt; 0
        )
    ),
    ""NO"",
    ""YES""
)"),"NO")</f>
        <v>NO</v>
      </c>
      <c r="D106" s="558" t="str">
        <f t="array" ref="D106">INDEX('Product Features'!$N$1:$P$1, , MIN(3, MATCH($B$6, {-9E+99, INDEX('Product Features'!$N:$P, MATCH(B106, 'Product Features'!$C:$C, 0), 0) * 1}, 1)))</f>
        <v>TRL 9</v>
      </c>
      <c r="E106" s="190"/>
      <c r="F106" s="555" t="s">
        <v>853</v>
      </c>
      <c r="G106" s="563" t="s">
        <v>854</v>
      </c>
      <c r="H106" s="559" t="str">
        <f t="array" ref="H106">INDEX('Product Features'!$M:$M, MATCH(G106, 'Product Features'!$C:$C, 0))</f>
        <v/>
      </c>
      <c r="I106" s="560" t="str">
        <f t="array" ref="I106">INDEX(
    INDEX('Product Features'!$N:$P, MATCH(G106, 'Product Features'!$C:$C, 0), 0),
    MATCH($G$6, 'Product Features'!$N$1:$P$1, 0)
)</f>
        <v/>
      </c>
      <c r="J106" s="190"/>
      <c r="K106" s="190"/>
      <c r="L106" s="190"/>
      <c r="M106" s="190"/>
      <c r="N106" s="190"/>
      <c r="O106" s="190"/>
      <c r="P106" s="190"/>
      <c r="Q106" s="190"/>
      <c r="R106" s="190"/>
      <c r="S106" s="190"/>
      <c r="T106" s="190"/>
      <c r="U106" s="190"/>
      <c r="V106" s="190"/>
      <c r="W106" s="190"/>
      <c r="X106" s="190"/>
      <c r="Y106" s="190"/>
      <c r="Z106" s="190"/>
    </row>
    <row r="107">
      <c r="A107" s="555" t="s">
        <v>856</v>
      </c>
      <c r="B107" s="563" t="s">
        <v>857</v>
      </c>
      <c r="C107" s="557" t="str">
        <f>IFERROR(__xludf.DUMMYFUNCTION("IF(
    ISERROR(
        FILTER(
            'Product Features'!$C:$C,
            'Product Features'!$C:$C = B107,
            ('Product Features'!$D:$D = $B$2) + ('Product Features'!$D:$D = ""N/A"") &gt; 0,
            (
                (REGEXEXTRACT('Prod"&amp;"uct Features'!$E:$E,""-(\d+\.?\d*)$"") &gt;= REGEXEXTRACT($B$3,""-(\d+\.?\d*)$"")) +
                ((REGEXMATCH($B$3, ""^(\w+-)+\d+$"")) * (LEFT('Product Features'!$E:$E, LEN($B$3)) = $B$3))
            ) &gt; 0,
            (
                (REGEXEXTRACT('P"&amp;"roduct Features'!$F:$F,""-(\d+\.?\d*)$"") &gt;= REGEXEXTRACT($B$4,""-(\d+\.?\d*)$"")) +
                ((REGEXMATCH($B$4, ""^(\w+-)+\d+$"")) * (LEFT('Product Features'!$F:$F, LEN($B$4)) = $B$4))
            ) &gt; 0,
            (
                IFERROR((REGE"&amp;"XEXTRACT('Product Features'!$G:$G,""-(\d+\.?\d*)$"") &gt;= REGEXEXTRACT($B$5,""-(\d+\.?\d*)$"")), 0) +
                ((REGEXMATCH($B$5, ""^(\w+-)+\d+$"")) * (LEFT('Product Features'!$G:$G, LEN($B$5)) = $B$5)) +
                ('Product Features'!$G:$G = "&amp;"""N/A"") + ($B$5 = ""N/A"")
            ) &gt; 0
        )
    ),
    ""NO"",
    ""YES""
)"),"NO")</f>
        <v>NO</v>
      </c>
      <c r="D107" s="558" t="str">
        <f t="array" ref="D107">INDEX('Product Features'!$N$1:$P$1, , MIN(3, MATCH($B$6, {-9E+99, INDEX('Product Features'!$N:$P, MATCH(B107, 'Product Features'!$C:$C, 0), 0) * 1}, 1)))</f>
        <v>TRL 9</v>
      </c>
      <c r="E107" s="190"/>
      <c r="F107" s="555" t="s">
        <v>856</v>
      </c>
      <c r="G107" s="563" t="s">
        <v>857</v>
      </c>
      <c r="H107" s="559">
        <f t="array" ref="H107">INDEX('Product Features'!$M:$M, MATCH(G107, 'Product Features'!$C:$C, 0))</f>
        <v>45901</v>
      </c>
      <c r="I107" s="560">
        <f t="array" ref="I107">INDEX(
    INDEX('Product Features'!$N:$P, MATCH(G107, 'Product Features'!$C:$C, 0), 0),
    MATCH($G$6, 'Product Features'!$N$1:$P$1, 0)
)</f>
        <v>46113</v>
      </c>
      <c r="J107" s="190"/>
      <c r="K107" s="190"/>
      <c r="L107" s="190"/>
      <c r="M107" s="190"/>
      <c r="N107" s="190"/>
      <c r="O107" s="190"/>
      <c r="P107" s="190"/>
      <c r="Q107" s="190"/>
      <c r="R107" s="190"/>
      <c r="S107" s="190"/>
      <c r="T107" s="190"/>
      <c r="U107" s="190"/>
      <c r="V107" s="190"/>
      <c r="W107" s="190"/>
      <c r="X107" s="190"/>
      <c r="Y107" s="190"/>
      <c r="Z107" s="190"/>
    </row>
    <row r="108">
      <c r="A108" s="555" t="s">
        <v>860</v>
      </c>
      <c r="B108" s="563" t="s">
        <v>861</v>
      </c>
      <c r="C108" s="557" t="str">
        <f>IFERROR(__xludf.DUMMYFUNCTION("IF(
    ISERROR(
        FILTER(
            'Product Features'!$C:$C,
            'Product Features'!$C:$C = B108,
            ('Product Features'!$D:$D = $B$2) + ('Product Features'!$D:$D = ""N/A"") &gt; 0,
            (
                (REGEXEXTRACT('Prod"&amp;"uct Features'!$E:$E,""-(\d+\.?\d*)$"") &gt;= REGEXEXTRACT($B$3,""-(\d+\.?\d*)$"")) +
                ((REGEXMATCH($B$3, ""^(\w+-)+\d+$"")) * (LEFT('Product Features'!$E:$E, LEN($B$3)) = $B$3))
            ) &gt; 0,
            (
                (REGEXEXTRACT('P"&amp;"roduct Features'!$F:$F,""-(\d+\.?\d*)$"") &gt;= REGEXEXTRACT($B$4,""-(\d+\.?\d*)$"")) +
                ((REGEXMATCH($B$4, ""^(\w+-)+\d+$"")) * (LEFT('Product Features'!$F:$F, LEN($B$4)) = $B$4))
            ) &gt; 0,
            (
                IFERROR((REGE"&amp;"XEXTRACT('Product Features'!$G:$G,""-(\d+\.?\d*)$"") &gt;= REGEXEXTRACT($B$5,""-(\d+\.?\d*)$"")), 0) +
                ((REGEXMATCH($B$5, ""^(\w+-)+\d+$"")) * (LEFT('Product Features'!$G:$G, LEN($B$5)) = $B$5)) +
                ('Product Features'!$G:$G = "&amp;"""N/A"") + ($B$5 = ""N/A"")
            ) &gt; 0
        )
    ),
    ""NO"",
    ""YES""
)"),"NO")</f>
        <v>NO</v>
      </c>
      <c r="D108" s="558" t="str">
        <f t="array" ref="D108">INDEX('Product Features'!$N$1:$P$1, , MIN(3, MATCH($B$6, {-9E+99, INDEX('Product Features'!$N:$P, MATCH(B108, 'Product Features'!$C:$C, 0), 0) * 1}, 1)))</f>
        <v>TRL 9</v>
      </c>
      <c r="E108" s="190"/>
      <c r="F108" s="555" t="s">
        <v>860</v>
      </c>
      <c r="G108" s="563" t="s">
        <v>861</v>
      </c>
      <c r="H108" s="559" t="str">
        <f t="array" ref="H108">INDEX('Product Features'!$M:$M, MATCH(G108, 'Product Features'!$C:$C, 0))</f>
        <v/>
      </c>
      <c r="I108" s="560" t="str">
        <f t="array" ref="I108">INDEX(
    INDEX('Product Features'!$N:$P, MATCH(G108, 'Product Features'!$C:$C, 0), 0),
    MATCH($G$6, 'Product Features'!$N$1:$P$1, 0)
)</f>
        <v/>
      </c>
      <c r="J108" s="190"/>
      <c r="K108" s="190"/>
      <c r="L108" s="190"/>
      <c r="M108" s="190"/>
      <c r="N108" s="190"/>
      <c r="O108" s="190"/>
      <c r="P108" s="190"/>
      <c r="Q108" s="190"/>
      <c r="R108" s="190"/>
      <c r="S108" s="190"/>
      <c r="T108" s="190"/>
      <c r="U108" s="190"/>
      <c r="V108" s="190"/>
      <c r="W108" s="190"/>
      <c r="X108" s="190"/>
      <c r="Y108" s="190"/>
      <c r="Z108" s="190"/>
    </row>
    <row r="109">
      <c r="A109" s="555" t="s">
        <v>863</v>
      </c>
      <c r="B109" s="563" t="s">
        <v>864</v>
      </c>
      <c r="C109" s="557" t="str">
        <f>IFERROR(__xludf.DUMMYFUNCTION("IF(
    ISERROR(
        FILTER(
            'Product Features'!$C:$C,
            'Product Features'!$C:$C = B109,
            ('Product Features'!$D:$D = $B$2) + ('Product Features'!$D:$D = ""N/A"") &gt; 0,
            (
                (REGEXEXTRACT('Prod"&amp;"uct Features'!$E:$E,""-(\d+\.?\d*)$"") &gt;= REGEXEXTRACT($B$3,""-(\d+\.?\d*)$"")) +
                ((REGEXMATCH($B$3, ""^(\w+-)+\d+$"")) * (LEFT('Product Features'!$E:$E, LEN($B$3)) = $B$3))
            ) &gt; 0,
            (
                (REGEXEXTRACT('P"&amp;"roduct Features'!$F:$F,""-(\d+\.?\d*)$"") &gt;= REGEXEXTRACT($B$4,""-(\d+\.?\d*)$"")) +
                ((REGEXMATCH($B$4, ""^(\w+-)+\d+$"")) * (LEFT('Product Features'!$F:$F, LEN($B$4)) = $B$4))
            ) &gt; 0,
            (
                IFERROR((REGE"&amp;"XEXTRACT('Product Features'!$G:$G,""-(\d+\.?\d*)$"") &gt;= REGEXEXTRACT($B$5,""-(\d+\.?\d*)$"")), 0) +
                ((REGEXMATCH($B$5, ""^(\w+-)+\d+$"")) * (LEFT('Product Features'!$G:$G, LEN($B$5)) = $B$5)) +
                ('Product Features'!$G:$G = "&amp;"""N/A"") + ($B$5 = ""N/A"")
            ) &gt; 0
        )
    ),
    ""NO"",
    ""YES""
)"),"NO")</f>
        <v>NO</v>
      </c>
      <c r="D109" s="558" t="str">
        <f t="array" ref="D109">INDEX('Product Features'!$N$1:$P$1, , MIN(3, MATCH($B$6, {-9E+99, INDEX('Product Features'!$N:$P, MATCH(B109, 'Product Features'!$C:$C, 0), 0) * 1}, 1)))</f>
        <v>TRL 9</v>
      </c>
      <c r="E109" s="190"/>
      <c r="F109" s="555" t="s">
        <v>863</v>
      </c>
      <c r="G109" s="563" t="s">
        <v>864</v>
      </c>
      <c r="H109" s="559" t="str">
        <f t="array" ref="H109">INDEX('Product Features'!$M:$M, MATCH(G109, 'Product Features'!$C:$C, 0))</f>
        <v/>
      </c>
      <c r="I109" s="560" t="str">
        <f t="array" ref="I109">INDEX(
    INDEX('Product Features'!$N:$P, MATCH(G109, 'Product Features'!$C:$C, 0), 0),
    MATCH($G$6, 'Product Features'!$N$1:$P$1, 0)
)</f>
        <v/>
      </c>
      <c r="J109" s="190"/>
      <c r="K109" s="190"/>
      <c r="L109" s="190"/>
      <c r="M109" s="190"/>
      <c r="N109" s="190"/>
      <c r="O109" s="190"/>
      <c r="P109" s="190"/>
      <c r="Q109" s="190"/>
      <c r="R109" s="190"/>
      <c r="S109" s="190"/>
      <c r="T109" s="190"/>
      <c r="U109" s="190"/>
      <c r="V109" s="190"/>
      <c r="W109" s="190"/>
      <c r="X109" s="190"/>
      <c r="Y109" s="190"/>
      <c r="Z109" s="190"/>
    </row>
    <row r="110">
      <c r="A110" s="555" t="s">
        <v>866</v>
      </c>
      <c r="B110" s="563" t="s">
        <v>867</v>
      </c>
      <c r="C110" s="557" t="str">
        <f>IFERROR(__xludf.DUMMYFUNCTION("IF(
    ISERROR(
        FILTER(
            'Product Features'!$C:$C,
            'Product Features'!$C:$C = B110,
            ('Product Features'!$D:$D = $B$2) + ('Product Features'!$D:$D = ""N/A"") &gt; 0,
            (
                (REGEXEXTRACT('Prod"&amp;"uct Features'!$E:$E,""-(\d+\.?\d*)$"") &gt;= REGEXEXTRACT($B$3,""-(\d+\.?\d*)$"")) +
                ((REGEXMATCH($B$3, ""^(\w+-)+\d+$"")) * (LEFT('Product Features'!$E:$E, LEN($B$3)) = $B$3))
            ) &gt; 0,
            (
                (REGEXEXTRACT('P"&amp;"roduct Features'!$F:$F,""-(\d+\.?\d*)$"") &gt;= REGEXEXTRACT($B$4,""-(\d+\.?\d*)$"")) +
                ((REGEXMATCH($B$4, ""^(\w+-)+\d+$"")) * (LEFT('Product Features'!$F:$F, LEN($B$4)) = $B$4))
            ) &gt; 0,
            (
                IFERROR((REGE"&amp;"XEXTRACT('Product Features'!$G:$G,""-(\d+\.?\d*)$"") &gt;= REGEXEXTRACT($B$5,""-(\d+\.?\d*)$"")), 0) +
                ((REGEXMATCH($B$5, ""^(\w+-)+\d+$"")) * (LEFT('Product Features'!$G:$G, LEN($B$5)) = $B$5)) +
                ('Product Features'!$G:$G = "&amp;"""N/A"") + ($B$5 = ""N/A"")
            ) &gt; 0
        )
    ),
    ""NO"",
    ""YES""
)"),"NO")</f>
        <v>NO</v>
      </c>
      <c r="D110" s="558" t="str">
        <f t="array" ref="D110">INDEX('Product Features'!$N$1:$P$1, , MIN(3, MATCH($B$6, {-9E+99, INDEX('Product Features'!$N:$P, MATCH(B110, 'Product Features'!$C:$C, 0), 0) * 1}, 1)))</f>
        <v>TRL 9</v>
      </c>
      <c r="E110" s="190"/>
      <c r="F110" s="555" t="s">
        <v>866</v>
      </c>
      <c r="G110" s="563" t="s">
        <v>867</v>
      </c>
      <c r="H110" s="559" t="str">
        <f t="array" ref="H110">INDEX('Product Features'!$M:$M, MATCH(G110, 'Product Features'!$C:$C, 0))</f>
        <v/>
      </c>
      <c r="I110" s="560" t="str">
        <f t="array" ref="I110">INDEX(
    INDEX('Product Features'!$N:$P, MATCH(G110, 'Product Features'!$C:$C, 0), 0),
    MATCH($G$6, 'Product Features'!$N$1:$P$1, 0)
)</f>
        <v/>
      </c>
      <c r="J110" s="190"/>
      <c r="K110" s="190"/>
      <c r="L110" s="190"/>
      <c r="M110" s="190"/>
      <c r="N110" s="190"/>
      <c r="O110" s="190"/>
      <c r="P110" s="190"/>
      <c r="Q110" s="190"/>
      <c r="R110" s="190"/>
      <c r="S110" s="190"/>
      <c r="T110" s="190"/>
      <c r="U110" s="190"/>
      <c r="V110" s="190"/>
      <c r="W110" s="190"/>
      <c r="X110" s="190"/>
      <c r="Y110" s="190"/>
      <c r="Z110" s="190"/>
    </row>
    <row r="111">
      <c r="A111" s="555" t="s">
        <v>869</v>
      </c>
      <c r="B111" s="563" t="s">
        <v>870</v>
      </c>
      <c r="C111" s="557"/>
      <c r="D111" s="558"/>
      <c r="E111" s="190"/>
      <c r="F111" s="555" t="s">
        <v>869</v>
      </c>
      <c r="G111" s="563" t="s">
        <v>870</v>
      </c>
      <c r="H111" s="564"/>
      <c r="I111" s="560"/>
      <c r="J111" s="190"/>
      <c r="K111" s="190"/>
      <c r="L111" s="190"/>
      <c r="M111" s="190"/>
      <c r="N111" s="190"/>
      <c r="O111" s="190"/>
      <c r="P111" s="190"/>
      <c r="Q111" s="190"/>
      <c r="R111" s="190"/>
      <c r="S111" s="190"/>
      <c r="T111" s="190"/>
      <c r="U111" s="190"/>
      <c r="V111" s="190"/>
      <c r="W111" s="190"/>
      <c r="X111" s="190"/>
      <c r="Y111" s="190"/>
      <c r="Z111" s="190"/>
    </row>
    <row r="112">
      <c r="A112" s="555" t="s">
        <v>872</v>
      </c>
      <c r="B112" s="563" t="s">
        <v>873</v>
      </c>
      <c r="C112" s="557" t="str">
        <f>IFERROR(__xludf.DUMMYFUNCTION("IF(
    ISERROR(
        FILTER(
            'Product Features'!$C:$C,
            'Product Features'!$C:$C = B112,
            ('Product Features'!$D:$D = $B$2) + ('Product Features'!$D:$D = ""N/A"") &gt; 0,
            (
                (REGEXEXTRACT('Prod"&amp;"uct Features'!$E:$E,""-(\d+\.?\d*)$"") &gt;= REGEXEXTRACT($B$3,""-(\d+\.?\d*)$"")) +
                ((REGEXMATCH($B$3, ""^(\w+-)+\d+$"")) * (LEFT('Product Features'!$E:$E, LEN($B$3)) = $B$3))
            ) &gt; 0,
            (
                (REGEXEXTRACT('P"&amp;"roduct Features'!$F:$F,""-(\d+\.?\d*)$"") &gt;= REGEXEXTRACT($B$4,""-(\d+\.?\d*)$"")) +
                ((REGEXMATCH($B$4, ""^(\w+-)+\d+$"")) * (LEFT('Product Features'!$F:$F, LEN($B$4)) = $B$4))
            ) &gt; 0,
            (
                IFERROR((REGE"&amp;"XEXTRACT('Product Features'!$G:$G,""-(\d+\.?\d*)$"") &gt;= REGEXEXTRACT($B$5,""-(\d+\.?\d*)$"")), 0) +
                ((REGEXMATCH($B$5, ""^(\w+-)+\d+$"")) * (LEFT('Product Features'!$G:$G, LEN($B$5)) = $B$5)) +
                ('Product Features'!$G:$G = "&amp;"""N/A"") + ($B$5 = ""N/A"")
            ) &gt; 0
        )
    ),
    ""NO"",
    ""YES""
)"),"NO")</f>
        <v>NO</v>
      </c>
      <c r="D112" s="558" t="str">
        <f t="array" ref="D112">INDEX('Product Features'!$N$1:$P$1, , MIN(3, MATCH($B$6, {-9E+99, INDEX('Product Features'!$N:$P, MATCH(B112, 'Product Features'!$C:$C, 0), 0) * 1}, 1)))</f>
        <v>TRL 9</v>
      </c>
      <c r="E112" s="190"/>
      <c r="F112" s="555" t="s">
        <v>872</v>
      </c>
      <c r="G112" s="563" t="s">
        <v>873</v>
      </c>
      <c r="H112" s="559" t="str">
        <f t="array" ref="H112">INDEX('Product Features'!$M:$M, MATCH(G112, 'Product Features'!$C:$C, 0))</f>
        <v/>
      </c>
      <c r="I112" s="560" t="str">
        <f t="array" ref="I112">INDEX(
    INDEX('Product Features'!$N:$P, MATCH(G112, 'Product Features'!$C:$C, 0), 0),
    MATCH($G$6, 'Product Features'!$N$1:$P$1, 0)
)</f>
        <v/>
      </c>
      <c r="J112" s="190"/>
      <c r="K112" s="190"/>
      <c r="L112" s="190"/>
      <c r="M112" s="190"/>
      <c r="N112" s="190"/>
      <c r="O112" s="190"/>
      <c r="P112" s="190"/>
      <c r="Q112" s="190"/>
      <c r="R112" s="190"/>
      <c r="S112" s="190"/>
      <c r="T112" s="190"/>
      <c r="U112" s="190"/>
      <c r="V112" s="190"/>
      <c r="W112" s="190"/>
      <c r="X112" s="190"/>
      <c r="Y112" s="190"/>
      <c r="Z112" s="190"/>
    </row>
    <row r="113">
      <c r="A113" s="555"/>
      <c r="B113" s="563"/>
      <c r="C113" s="557" t="str">
        <f>IFERROR(__xludf.DUMMYFUNCTION("IF(
    ISERROR(
        FILTER(
            'Product Features'!$C:$C,
            'Product Features'!$C:$C = B113,
            ('Product Features'!$D:$D = $B$2) + ('Product Features'!$D:$D = ""N/A"") &gt; 0,
            (
                (REGEXEXTRACT('Prod"&amp;"uct Features'!$E:$E,""-(\d+\.?\d*)$"") &gt;= REGEXEXTRACT($B$3,""-(\d+\.?\d*)$"")) +
                ((REGEXMATCH($B$3, ""^(\w+-)+\d+$"")) * (LEFT('Product Features'!$E:$E, LEN($B$3)) = $B$3))
            ) &gt; 0,
            (
                (REGEXEXTRACT('P"&amp;"roduct Features'!$F:$F,""-(\d+\.?\d*)$"") &gt;= REGEXEXTRACT($B$4,""-(\d+\.?\d*)$"")) +
                ((REGEXMATCH($B$4, ""^(\w+-)+\d+$"")) * (LEFT('Product Features'!$F:$F, LEN($B$4)) = $B$4))
            ) &gt; 0,
            (
                IFERROR((REGE"&amp;"XEXTRACT('Product Features'!$G:$G,""-(\d+\.?\d*)$"") &gt;= REGEXEXTRACT($B$5,""-(\d+\.?\d*)$"")), 0) +
                ((REGEXMATCH($B$5, ""^(\w+-)+\d+$"")) * (LEFT('Product Features'!$G:$G, LEN($B$5)) = $B$5)) +
                ('Product Features'!$G:$G = "&amp;"""N/A"") + ($B$5 = ""N/A"")
            ) &gt; 0
        )
    ),
    ""NO"",
    ""YES""
)"),"YES")</f>
        <v>YES</v>
      </c>
      <c r="D113" s="558" t="str">
        <f t="array" ref="D113">INDEX('Product Features'!$N$1:$P$1, , MIN(3, MATCH($B$6, {-9E+99, INDEX('Product Features'!$N:$P, MATCH(B113, 'Product Features'!$C:$C, 0), 0) * 1}, 1)))</f>
        <v>TRL 3</v>
      </c>
      <c r="E113" s="190"/>
      <c r="F113" s="555"/>
      <c r="G113" s="563"/>
      <c r="H113" s="564" t="str">
        <f t="array" ref="H113">INDEX('Product Features'!$M:$M, MATCH(G113, 'Product Features'!$C:$C, 0))</f>
        <v>#N/A</v>
      </c>
      <c r="I113" s="560" t="str">
        <f t="array" ref="I113">INDEX(
    INDEX('Product Features'!$N:$P, MATCH(G113, 'Product Features'!$C:$C, 0), 0),
    MATCH($G$6, 'Product Features'!$N$1:$P$1, 0)
)</f>
        <v>#N/A</v>
      </c>
      <c r="J113" s="190"/>
      <c r="K113" s="190"/>
      <c r="L113" s="190"/>
      <c r="M113" s="190"/>
      <c r="N113" s="190"/>
      <c r="O113" s="190"/>
      <c r="P113" s="190"/>
      <c r="Q113" s="190"/>
      <c r="R113" s="190"/>
      <c r="S113" s="190"/>
      <c r="T113" s="190"/>
      <c r="U113" s="190"/>
      <c r="V113" s="190"/>
      <c r="W113" s="190"/>
      <c r="X113" s="190"/>
      <c r="Y113" s="190"/>
      <c r="Z113" s="190"/>
    </row>
    <row r="114">
      <c r="A114" s="555" t="s">
        <v>876</v>
      </c>
      <c r="B114" s="563" t="s">
        <v>877</v>
      </c>
      <c r="C114" s="557" t="str">
        <f>IFERROR(__xludf.DUMMYFUNCTION("IF(
    ISERROR(
        FILTER(
            'Product Features'!$C:$C,
            'Product Features'!$C:$C = B114,
            ('Product Features'!$D:$D = $B$2) + ('Product Features'!$D:$D = ""N/A"") &gt; 0,
            (
                (REGEXEXTRACT('Prod"&amp;"uct Features'!$E:$E,""-(\d+\.?\d*)$"") &gt;= REGEXEXTRACT($B$3,""-(\d+\.?\d*)$"")) +
                ((REGEXMATCH($B$3, ""^(\w+-)+\d+$"")) * (LEFT('Product Features'!$E:$E, LEN($B$3)) = $B$3))
            ) &gt; 0,
            (
                (REGEXEXTRACT('P"&amp;"roduct Features'!$F:$F,""-(\d+\.?\d*)$"") &gt;= REGEXEXTRACT($B$4,""-(\d+\.?\d*)$"")) +
                ((REGEXMATCH($B$4, ""^(\w+-)+\d+$"")) * (LEFT('Product Features'!$F:$F, LEN($B$4)) = $B$4))
            ) &gt; 0,
            (
                IFERROR((REGE"&amp;"XEXTRACT('Product Features'!$G:$G,""-(\d+\.?\d*)$"") &gt;= REGEXEXTRACT($B$5,""-(\d+\.?\d*)$"")), 0) +
                ((REGEXMATCH($B$5, ""^(\w+-)+\d+$"")) * (LEFT('Product Features'!$G:$G, LEN($B$5)) = $B$5)) +
                ('Product Features'!$G:$G = "&amp;"""N/A"") + ($B$5 = ""N/A"")
            ) &gt; 0
        )
    ),
    ""NO"",
    ""YES""
)"),"NO")</f>
        <v>NO</v>
      </c>
      <c r="D114" s="558" t="str">
        <f t="array" ref="D114">INDEX('Product Features'!$N$1:$P$1, , MIN(3, MATCH($B$6, {-9E+99, INDEX('Product Features'!$N:$P, MATCH(B114, 'Product Features'!$C:$C, 0), 0) * 1}, 1)))</f>
        <v>TRL 9</v>
      </c>
      <c r="E114" s="190"/>
      <c r="F114" s="555" t="s">
        <v>876</v>
      </c>
      <c r="G114" s="563" t="s">
        <v>877</v>
      </c>
      <c r="H114" s="559" t="str">
        <f t="array" ref="H114">INDEX('Product Features'!$M:$M, MATCH(G114, 'Product Features'!$C:$C, 0))</f>
        <v/>
      </c>
      <c r="I114" s="560" t="str">
        <f t="array" ref="I114">INDEX(
    INDEX('Product Features'!$N:$P, MATCH(G114, 'Product Features'!$C:$C, 0), 0),
    MATCH($G$6, 'Product Features'!$N$1:$P$1, 0)
)</f>
        <v/>
      </c>
      <c r="J114" s="190"/>
      <c r="K114" s="190"/>
      <c r="L114" s="190"/>
      <c r="M114" s="190"/>
      <c r="N114" s="190"/>
      <c r="O114" s="190"/>
      <c r="P114" s="190"/>
      <c r="Q114" s="190"/>
      <c r="R114" s="190"/>
      <c r="S114" s="190"/>
      <c r="T114" s="190"/>
      <c r="U114" s="190"/>
      <c r="V114" s="190"/>
      <c r="W114" s="190"/>
      <c r="X114" s="190"/>
      <c r="Y114" s="190"/>
      <c r="Z114" s="190"/>
    </row>
    <row r="115">
      <c r="A115" s="555" t="s">
        <v>879</v>
      </c>
      <c r="B115" s="563" t="s">
        <v>880</v>
      </c>
      <c r="C115" s="557" t="str">
        <f>IFERROR(__xludf.DUMMYFUNCTION("IF(
    ISERROR(
        FILTER(
            'Product Features'!$C:$C,
            'Product Features'!$C:$C = B115,
            ('Product Features'!$D:$D = $B$2) + ('Product Features'!$D:$D = ""N/A"") &gt; 0,
            (
                (REGEXEXTRACT('Prod"&amp;"uct Features'!$E:$E,""-(\d+\.?\d*)$"") &gt;= REGEXEXTRACT($B$3,""-(\d+\.?\d*)$"")) +
                ((REGEXMATCH($B$3, ""^(\w+-)+\d+$"")) * (LEFT('Product Features'!$E:$E, LEN($B$3)) = $B$3))
            ) &gt; 0,
            (
                (REGEXEXTRACT('P"&amp;"roduct Features'!$F:$F,""-(\d+\.?\d*)$"") &gt;= REGEXEXTRACT($B$4,""-(\d+\.?\d*)$"")) +
                ((REGEXMATCH($B$4, ""^(\w+-)+\d+$"")) * (LEFT('Product Features'!$F:$F, LEN($B$4)) = $B$4))
            ) &gt; 0,
            (
                IFERROR((REGE"&amp;"XEXTRACT('Product Features'!$G:$G,""-(\d+\.?\d*)$"") &gt;= REGEXEXTRACT($B$5,""-(\d+\.?\d*)$"")), 0) +
                ((REGEXMATCH($B$5, ""^(\w+-)+\d+$"")) * (LEFT('Product Features'!$G:$G, LEN($B$5)) = $B$5)) +
                ('Product Features'!$G:$G = "&amp;"""N/A"") + ($B$5 = ""N/A"")
            ) &gt; 0
        )
    ),
    ""NO"",
    ""YES""
)"),"NO")</f>
        <v>NO</v>
      </c>
      <c r="D115" s="558" t="str">
        <f t="array" ref="D115">INDEX('Product Features'!$N$1:$P$1, , MIN(3, MATCH($B$6, {-9E+99, INDEX('Product Features'!$N:$P, MATCH(B115, 'Product Features'!$C:$C, 0), 0) * 1}, 1)))</f>
        <v>TRL 9</v>
      </c>
      <c r="E115" s="190"/>
      <c r="F115" s="555" t="s">
        <v>879</v>
      </c>
      <c r="G115" s="563" t="s">
        <v>880</v>
      </c>
      <c r="H115" s="559" t="str">
        <f t="array" ref="H115">INDEX('Product Features'!$M:$M, MATCH(G115, 'Product Features'!$C:$C, 0))</f>
        <v/>
      </c>
      <c r="I115" s="560" t="str">
        <f t="array" ref="I115">INDEX(
    INDEX('Product Features'!$N:$P, MATCH(G115, 'Product Features'!$C:$C, 0), 0),
    MATCH($G$6, 'Product Features'!$N$1:$P$1, 0)
)</f>
        <v/>
      </c>
      <c r="J115" s="190"/>
      <c r="K115" s="190"/>
      <c r="L115" s="190"/>
      <c r="M115" s="190"/>
      <c r="N115" s="190"/>
      <c r="O115" s="190"/>
      <c r="P115" s="190"/>
      <c r="Q115" s="190"/>
      <c r="R115" s="190"/>
      <c r="S115" s="190"/>
      <c r="T115" s="190"/>
      <c r="U115" s="190"/>
      <c r="V115" s="190"/>
      <c r="W115" s="190"/>
      <c r="X115" s="190"/>
      <c r="Y115" s="190"/>
      <c r="Z115" s="190"/>
    </row>
    <row r="116">
      <c r="A116" s="565" t="s">
        <v>882</v>
      </c>
      <c r="B116" s="566" t="s">
        <v>883</v>
      </c>
      <c r="C116" s="567"/>
      <c r="D116" s="568"/>
      <c r="E116" s="190"/>
      <c r="F116" s="565" t="s">
        <v>882</v>
      </c>
      <c r="G116" s="566" t="s">
        <v>883</v>
      </c>
      <c r="H116" s="569"/>
      <c r="I116" s="570"/>
      <c r="J116" s="190"/>
      <c r="K116" s="190"/>
      <c r="L116" s="190"/>
      <c r="M116" s="190"/>
      <c r="N116" s="190"/>
      <c r="O116" s="190"/>
      <c r="P116" s="190"/>
      <c r="Q116" s="190"/>
      <c r="R116" s="190"/>
      <c r="S116" s="190"/>
      <c r="T116" s="190"/>
      <c r="U116" s="190"/>
      <c r="V116" s="190"/>
      <c r="W116" s="190"/>
      <c r="X116" s="190"/>
      <c r="Y116" s="190"/>
      <c r="Z116" s="190"/>
    </row>
    <row r="117">
      <c r="A117" s="565" t="s">
        <v>885</v>
      </c>
      <c r="B117" s="566" t="s">
        <v>886</v>
      </c>
      <c r="C117" s="567"/>
      <c r="D117" s="568"/>
      <c r="E117" s="190"/>
      <c r="F117" s="565" t="s">
        <v>885</v>
      </c>
      <c r="G117" s="566" t="s">
        <v>886</v>
      </c>
      <c r="H117" s="569"/>
      <c r="I117" s="570"/>
      <c r="J117" s="190"/>
      <c r="K117" s="190"/>
      <c r="L117" s="190"/>
      <c r="M117" s="190"/>
      <c r="N117" s="190"/>
      <c r="O117" s="190"/>
      <c r="P117" s="190"/>
      <c r="Q117" s="190"/>
      <c r="R117" s="190"/>
      <c r="S117" s="190"/>
      <c r="T117" s="190"/>
      <c r="U117" s="190"/>
      <c r="V117" s="190"/>
      <c r="W117" s="190"/>
      <c r="X117" s="190"/>
      <c r="Y117" s="190"/>
      <c r="Z117" s="190"/>
    </row>
    <row r="118">
      <c r="A118" s="565"/>
      <c r="B118" s="566"/>
      <c r="C118" s="567"/>
      <c r="D118" s="568"/>
      <c r="E118" s="190"/>
      <c r="F118" s="565"/>
      <c r="G118" s="566"/>
      <c r="H118" s="569"/>
      <c r="I118" s="570"/>
      <c r="J118" s="190"/>
      <c r="K118" s="190"/>
      <c r="L118" s="190"/>
      <c r="M118" s="190"/>
      <c r="N118" s="190"/>
      <c r="O118" s="190"/>
      <c r="P118" s="190"/>
      <c r="Q118" s="190"/>
      <c r="R118" s="190"/>
      <c r="S118" s="190"/>
      <c r="T118" s="190"/>
      <c r="U118" s="190"/>
      <c r="V118" s="190"/>
      <c r="W118" s="190"/>
      <c r="X118" s="190"/>
      <c r="Y118" s="190"/>
      <c r="Z118" s="190"/>
    </row>
    <row r="119">
      <c r="A119" s="565"/>
      <c r="B119" s="566" t="s">
        <v>889</v>
      </c>
      <c r="C119" s="567"/>
      <c r="D119" s="568"/>
      <c r="E119" s="190"/>
      <c r="F119" s="565"/>
      <c r="G119" s="566" t="s">
        <v>889</v>
      </c>
      <c r="H119" s="569"/>
      <c r="I119" s="570"/>
      <c r="J119" s="190"/>
      <c r="K119" s="190"/>
      <c r="L119" s="190"/>
      <c r="M119" s="190"/>
      <c r="N119" s="190"/>
      <c r="O119" s="190"/>
      <c r="P119" s="190"/>
      <c r="Q119" s="190"/>
      <c r="R119" s="190"/>
      <c r="S119" s="190"/>
      <c r="T119" s="190"/>
      <c r="U119" s="190"/>
      <c r="V119" s="190"/>
      <c r="W119" s="190"/>
      <c r="X119" s="190"/>
      <c r="Y119" s="190"/>
      <c r="Z119" s="190"/>
    </row>
    <row r="120">
      <c r="A120" s="565"/>
      <c r="B120" s="566"/>
      <c r="C120" s="567"/>
      <c r="D120" s="568"/>
      <c r="E120" s="190"/>
      <c r="F120" s="565"/>
      <c r="G120" s="566"/>
      <c r="H120" s="569"/>
      <c r="I120" s="570"/>
      <c r="J120" s="190"/>
      <c r="K120" s="190"/>
      <c r="L120" s="190"/>
      <c r="M120" s="190"/>
      <c r="N120" s="190"/>
      <c r="O120" s="190"/>
      <c r="P120" s="190"/>
      <c r="Q120" s="190"/>
      <c r="R120" s="190"/>
      <c r="S120" s="190"/>
      <c r="T120" s="190"/>
      <c r="U120" s="190"/>
      <c r="V120" s="190"/>
      <c r="W120" s="190"/>
      <c r="X120" s="190"/>
      <c r="Y120" s="190"/>
      <c r="Z120" s="190"/>
    </row>
    <row r="121">
      <c r="A121" s="565"/>
      <c r="B121" s="566"/>
      <c r="C121" s="567"/>
      <c r="D121" s="568"/>
      <c r="E121" s="190"/>
      <c r="F121" s="565"/>
      <c r="G121" s="566"/>
      <c r="H121" s="569"/>
      <c r="I121" s="570"/>
      <c r="J121" s="190"/>
      <c r="K121" s="190"/>
      <c r="L121" s="190"/>
      <c r="M121" s="190"/>
      <c r="N121" s="190"/>
      <c r="O121" s="190"/>
      <c r="P121" s="190"/>
      <c r="Q121" s="190"/>
      <c r="R121" s="190"/>
      <c r="S121" s="190"/>
      <c r="T121" s="190"/>
      <c r="U121" s="190"/>
      <c r="V121" s="190"/>
      <c r="W121" s="190"/>
      <c r="X121" s="190"/>
      <c r="Y121" s="190"/>
      <c r="Z121" s="190"/>
    </row>
    <row r="122">
      <c r="A122" s="565"/>
      <c r="B122" s="566"/>
      <c r="C122" s="567"/>
      <c r="D122" s="568"/>
      <c r="E122" s="190"/>
      <c r="F122" s="565"/>
      <c r="G122" s="566"/>
      <c r="H122" s="569"/>
      <c r="I122" s="570"/>
      <c r="J122" s="190"/>
      <c r="K122" s="190"/>
      <c r="L122" s="190"/>
      <c r="M122" s="190"/>
      <c r="N122" s="190"/>
      <c r="O122" s="190"/>
      <c r="P122" s="190"/>
      <c r="Q122" s="190"/>
      <c r="R122" s="190"/>
      <c r="S122" s="190"/>
      <c r="T122" s="190"/>
      <c r="U122" s="190"/>
      <c r="V122" s="190"/>
      <c r="W122" s="190"/>
      <c r="X122" s="190"/>
      <c r="Y122" s="190"/>
      <c r="Z122" s="190"/>
    </row>
    <row r="123">
      <c r="A123" s="565"/>
      <c r="B123" s="566"/>
      <c r="C123" s="567"/>
      <c r="D123" s="568"/>
      <c r="E123" s="190"/>
      <c r="F123" s="565"/>
      <c r="G123" s="566"/>
      <c r="H123" s="569"/>
      <c r="I123" s="570"/>
      <c r="J123" s="190"/>
      <c r="K123" s="190"/>
      <c r="L123" s="190"/>
      <c r="M123" s="190"/>
      <c r="N123" s="190"/>
      <c r="O123" s="190"/>
      <c r="P123" s="190"/>
      <c r="Q123" s="190"/>
      <c r="R123" s="190"/>
      <c r="S123" s="190"/>
      <c r="T123" s="190"/>
      <c r="U123" s="190"/>
      <c r="V123" s="190"/>
      <c r="W123" s="190"/>
      <c r="X123" s="190"/>
      <c r="Y123" s="190"/>
      <c r="Z123" s="190"/>
    </row>
    <row r="124">
      <c r="A124" s="565"/>
      <c r="B124" s="566"/>
      <c r="C124" s="567"/>
      <c r="D124" s="568"/>
      <c r="E124" s="190"/>
      <c r="F124" s="565"/>
      <c r="G124" s="566"/>
      <c r="H124" s="569"/>
      <c r="I124" s="570"/>
      <c r="J124" s="190"/>
      <c r="K124" s="190"/>
      <c r="L124" s="190"/>
      <c r="M124" s="190"/>
      <c r="N124" s="190"/>
      <c r="O124" s="190"/>
      <c r="P124" s="190"/>
      <c r="Q124" s="190"/>
      <c r="R124" s="190"/>
      <c r="S124" s="190"/>
      <c r="T124" s="190"/>
      <c r="U124" s="190"/>
      <c r="V124" s="190"/>
      <c r="W124" s="190"/>
      <c r="X124" s="190"/>
      <c r="Y124" s="190"/>
      <c r="Z124" s="190"/>
    </row>
    <row r="125">
      <c r="A125" s="565"/>
      <c r="B125" s="566"/>
      <c r="C125" s="567"/>
      <c r="D125" s="568"/>
      <c r="E125" s="190"/>
      <c r="F125" s="565"/>
      <c r="G125" s="566"/>
      <c r="H125" s="569"/>
      <c r="I125" s="570"/>
      <c r="J125" s="190"/>
      <c r="K125" s="190"/>
      <c r="L125" s="190"/>
      <c r="M125" s="190"/>
      <c r="N125" s="190"/>
      <c r="O125" s="190"/>
      <c r="P125" s="190"/>
      <c r="Q125" s="190"/>
      <c r="R125" s="190"/>
      <c r="S125" s="190"/>
      <c r="T125" s="190"/>
      <c r="U125" s="190"/>
      <c r="V125" s="190"/>
      <c r="W125" s="190"/>
      <c r="X125" s="190"/>
      <c r="Y125" s="190"/>
      <c r="Z125" s="190"/>
    </row>
  </sheetData>
  <autoFilter ref="$A$9:$I$125"/>
  <mergeCells count="4">
    <mergeCell ref="A1:B1"/>
    <mergeCell ref="F1:G1"/>
    <mergeCell ref="A8:D8"/>
    <mergeCell ref="F8:I8"/>
  </mergeCells>
  <dataValidations>
    <dataValidation type="list" allowBlank="1" showErrorMessage="1" sqref="B6">
      <formula1>"Dec 2025,Jan 2026,Feb 2026,Mar 2026,Apr 2026,Jun 2026,July 2026,Aug 2026,Sep 2026,Oct 2026,Nov 2026,Dec 2026"</formula1>
    </dataValidation>
    <dataValidation type="list" allowBlank="1" showErrorMessage="1" sqref="B4 G4">
      <formula1>"CFG-ENV-1,CFG-ENV-1.1,CFG-ENV-2,CFG-ENV-2.1,CFG-ENV-3,CFG-ENV-3.1,CFG-ENV-4,CFG-ENV-4.1"</formula1>
    </dataValidation>
    <dataValidation type="list" allowBlank="1" showErrorMessage="1" sqref="B2 G2">
      <formula1>Configurations!$B$2:$B$11</formula1>
    </dataValidation>
    <dataValidation type="list" allowBlank="1" showErrorMessage="1" sqref="C10:C16 C18:C30 C32:C39 C41:C53 C55:C61 C63:C65 C67:C78 C80:C83 C85:C88 C90:C94 C96:C97 C99:C102 C104:C110 C112:C115">
      <formula1>"YES,NO"</formula1>
    </dataValidation>
    <dataValidation type="list" allowBlank="1" showErrorMessage="1" sqref="B5 G5">
      <formula1>"CFG-CGO-1,CFG-CGO-2,CFG-CGO-3,CFG-CGOL-4,N/A"</formula1>
    </dataValidation>
    <dataValidation type="list" allowBlank="1" showErrorMessage="1" sqref="B3 G3">
      <formula1>"CFG-ODD-1,CFG-ODD-1.1,CFG-ODD-1.2,CFG-ODD-2,CFG-ODD-3,CFG-ODD-4"</formula1>
    </dataValidation>
    <dataValidation type="list" allowBlank="1" showErrorMessage="1" sqref="G6 D10:D16 D18:D30 D32:D39 D41:D53 D55:D61 D63:D65 D67:D78 D80:D83 D85:D88 D90:D94 D96:D97 D99:D102 D104:D110 D112:D115">
      <formula1>"TRL 3,TRL 6,TRL 9"</formula1>
    </dataValidation>
  </dataValidation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Views>
    <sheetView showGridLines="0" workbookViewId="0"/>
  </sheetViews>
  <sheetData/>
  <sheetProtection objects="1" selectLockedCells="1" selectUnlockedCells="1" sheet="1"/>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hidden="1" min="1" max="1" width="13.0"/>
    <col customWidth="1" hidden="1" min="2" max="2" width="55.38"/>
    <col customWidth="1" min="3" max="3" width="21.13"/>
    <col customWidth="1" min="4" max="4" width="59.13"/>
    <col customWidth="1" min="5" max="5" width="14.38"/>
    <col customWidth="1" min="6" max="6" width="16.75"/>
  </cols>
  <sheetData>
    <row r="1">
      <c r="B1" s="6"/>
    </row>
    <row r="2">
      <c r="B2" s="6"/>
      <c r="C2" s="3" t="s">
        <v>0</v>
      </c>
      <c r="D2" s="4"/>
      <c r="E2" s="5" t="s">
        <v>3</v>
      </c>
      <c r="F2" s="5" t="s">
        <v>234</v>
      </c>
      <c r="G2" s="5" t="s">
        <v>1</v>
      </c>
      <c r="H2" s="5" t="s">
        <v>2</v>
      </c>
      <c r="I2" s="5" t="s">
        <v>238</v>
      </c>
      <c r="J2" s="5" t="s">
        <v>109</v>
      </c>
      <c r="K2" s="5" t="s">
        <v>115</v>
      </c>
      <c r="L2" s="5" t="s">
        <v>110</v>
      </c>
      <c r="M2" s="56" t="s">
        <v>111</v>
      </c>
      <c r="N2" s="5" t="s">
        <v>4</v>
      </c>
      <c r="O2" s="5" t="s">
        <v>5</v>
      </c>
      <c r="P2" s="56" t="s">
        <v>112</v>
      </c>
      <c r="Q2" s="5" t="s">
        <v>239</v>
      </c>
      <c r="R2" s="5" t="s">
        <v>6</v>
      </c>
      <c r="S2" s="5" t="s">
        <v>7</v>
      </c>
      <c r="T2" s="5" t="s">
        <v>116</v>
      </c>
      <c r="U2" s="5" t="s">
        <v>113</v>
      </c>
      <c r="V2" s="5" t="s">
        <v>235</v>
      </c>
      <c r="W2" s="5" t="s">
        <v>114</v>
      </c>
      <c r="X2" s="5" t="s">
        <v>236</v>
      </c>
      <c r="Y2" s="5" t="s">
        <v>237</v>
      </c>
    </row>
    <row r="3">
      <c r="B3" s="6"/>
      <c r="C3" s="7" t="s">
        <v>8</v>
      </c>
      <c r="D3" s="8"/>
      <c r="E3" s="11" t="s">
        <v>9</v>
      </c>
      <c r="F3" s="89" t="s">
        <v>240</v>
      </c>
      <c r="G3" s="10"/>
      <c r="H3" s="11" t="s">
        <v>9</v>
      </c>
      <c r="I3" s="89" t="s">
        <v>244</v>
      </c>
      <c r="J3" s="58" t="s">
        <v>118</v>
      </c>
      <c r="K3" s="58" t="s">
        <v>123</v>
      </c>
      <c r="L3" s="58" t="s">
        <v>119</v>
      </c>
      <c r="M3" s="59" t="s">
        <v>120</v>
      </c>
      <c r="N3" s="11" t="s">
        <v>10</v>
      </c>
      <c r="O3" s="11" t="s">
        <v>11</v>
      </c>
      <c r="P3" s="59" t="s">
        <v>120</v>
      </c>
      <c r="Q3" s="89" t="s">
        <v>245</v>
      </c>
      <c r="R3" s="11" t="s">
        <v>12</v>
      </c>
      <c r="S3" s="11" t="s">
        <v>13</v>
      </c>
      <c r="T3" s="58" t="s">
        <v>124</v>
      </c>
      <c r="U3" s="58" t="s">
        <v>121</v>
      </c>
      <c r="V3" s="89" t="s">
        <v>241</v>
      </c>
      <c r="W3" s="58" t="s">
        <v>122</v>
      </c>
      <c r="X3" s="89" t="s">
        <v>242</v>
      </c>
      <c r="Y3" s="89" t="s">
        <v>243</v>
      </c>
    </row>
    <row r="4">
      <c r="B4" s="6"/>
      <c r="C4" s="14" t="s">
        <v>125</v>
      </c>
      <c r="D4" s="15"/>
      <c r="E4" s="571">
        <v>45688.0</v>
      </c>
      <c r="F4" s="572">
        <v>45931.0</v>
      </c>
      <c r="G4" s="572">
        <v>45960.0</v>
      </c>
      <c r="H4" s="571">
        <v>45961.0</v>
      </c>
      <c r="I4" s="571">
        <v>45962.0</v>
      </c>
      <c r="J4" s="572">
        <v>46023.0</v>
      </c>
      <c r="K4" s="572">
        <v>46023.0</v>
      </c>
      <c r="L4" s="571">
        <v>46023.0</v>
      </c>
      <c r="M4" s="571">
        <v>46023.0</v>
      </c>
      <c r="N4" s="571">
        <v>46068.0</v>
      </c>
      <c r="O4" s="571">
        <v>46081.0</v>
      </c>
      <c r="P4" s="571">
        <v>46082.0</v>
      </c>
      <c r="Q4" s="571">
        <v>46082.0</v>
      </c>
      <c r="R4" s="571">
        <v>46082.0</v>
      </c>
      <c r="S4" s="571">
        <v>46082.0</v>
      </c>
      <c r="T4" s="571">
        <v>46174.0</v>
      </c>
      <c r="U4" s="571">
        <v>46174.0</v>
      </c>
      <c r="V4" s="571">
        <v>46174.0</v>
      </c>
      <c r="W4" s="571">
        <v>46266.0</v>
      </c>
      <c r="X4" s="571">
        <v>46357.0</v>
      </c>
      <c r="Y4" s="571">
        <v>46388.0</v>
      </c>
    </row>
    <row r="5">
      <c r="B5" s="6"/>
      <c r="C5" s="14" t="s">
        <v>1091</v>
      </c>
      <c r="E5" s="573">
        <v>7.0</v>
      </c>
      <c r="F5" s="573">
        <v>7.0</v>
      </c>
      <c r="G5" s="574">
        <v>7.0</v>
      </c>
      <c r="H5" s="573">
        <v>8.0</v>
      </c>
      <c r="I5" s="573">
        <v>7.0</v>
      </c>
      <c r="J5" s="573">
        <v>6.0</v>
      </c>
      <c r="K5" s="573">
        <v>6.0</v>
      </c>
      <c r="L5" s="573">
        <v>7.0</v>
      </c>
      <c r="M5" s="573">
        <v>8.0</v>
      </c>
      <c r="N5" s="573">
        <v>9.0</v>
      </c>
      <c r="O5" s="573">
        <v>9.0</v>
      </c>
      <c r="P5" s="573">
        <v>7.0</v>
      </c>
      <c r="Q5" s="573">
        <v>9.0</v>
      </c>
      <c r="R5" s="569"/>
      <c r="S5" s="569"/>
      <c r="T5" s="573">
        <v>9.0</v>
      </c>
      <c r="U5" s="573">
        <v>9.0</v>
      </c>
      <c r="V5" s="573">
        <v>9.0</v>
      </c>
      <c r="W5" s="573">
        <v>9.0</v>
      </c>
      <c r="X5" s="573">
        <v>9.0</v>
      </c>
      <c r="Y5" s="573">
        <v>9.0</v>
      </c>
    </row>
    <row r="6">
      <c r="B6" s="6"/>
      <c r="C6" s="14" t="s">
        <v>320</v>
      </c>
      <c r="E6" s="88" t="s">
        <v>294</v>
      </c>
      <c r="F6" s="88" t="s">
        <v>296</v>
      </c>
      <c r="G6" s="88" t="s">
        <v>294</v>
      </c>
      <c r="H6" s="88" t="s">
        <v>294</v>
      </c>
      <c r="I6" s="88" t="s">
        <v>296</v>
      </c>
      <c r="J6" s="88" t="s">
        <v>297</v>
      </c>
      <c r="K6" s="88" t="s">
        <v>297</v>
      </c>
      <c r="L6" s="88" t="s">
        <v>297</v>
      </c>
      <c r="M6" s="88" t="s">
        <v>297</v>
      </c>
      <c r="N6" s="88" t="s">
        <v>294</v>
      </c>
      <c r="O6" s="88" t="s">
        <v>294</v>
      </c>
      <c r="P6" s="88" t="s">
        <v>297</v>
      </c>
      <c r="Q6" s="88" t="s">
        <v>296</v>
      </c>
      <c r="R6" s="88" t="s">
        <v>294</v>
      </c>
      <c r="S6" s="88" t="s">
        <v>294</v>
      </c>
      <c r="T6" s="88" t="s">
        <v>297</v>
      </c>
      <c r="U6" s="88" t="s">
        <v>297</v>
      </c>
      <c r="V6" s="88" t="s">
        <v>296</v>
      </c>
      <c r="W6" s="88" t="s">
        <v>297</v>
      </c>
      <c r="X6" s="88" t="s">
        <v>296</v>
      </c>
      <c r="Y6" s="88" t="s">
        <v>296</v>
      </c>
    </row>
    <row r="7">
      <c r="B7" s="6"/>
      <c r="C7" s="75" t="s">
        <v>1092</v>
      </c>
      <c r="D7" s="6"/>
    </row>
    <row r="8">
      <c r="A8" s="575" t="str">
        <f>'Product Features'!B2</f>
        <v>PF-ACT-1.1</v>
      </c>
      <c r="B8" s="576" t="str">
        <f>'Product Features'!C2</f>
        <v>Road vehicles: operate around/ regular interactions (baseline)</v>
      </c>
      <c r="C8" s="575" t="s">
        <v>1093</v>
      </c>
      <c r="D8" s="576" t="s">
        <v>349</v>
      </c>
      <c r="E8" s="577" t="s">
        <v>281</v>
      </c>
      <c r="F8" s="577" t="s">
        <v>281</v>
      </c>
      <c r="G8" s="577" t="s">
        <v>281</v>
      </c>
      <c r="H8" s="577" t="s">
        <v>281</v>
      </c>
      <c r="I8" s="577" t="s">
        <v>281</v>
      </c>
      <c r="J8" s="577" t="s">
        <v>1094</v>
      </c>
      <c r="K8" s="577" t="s">
        <v>1094</v>
      </c>
      <c r="L8" s="577" t="s">
        <v>1095</v>
      </c>
      <c r="M8" s="577" t="s">
        <v>1096</v>
      </c>
      <c r="N8" s="577" t="s">
        <v>281</v>
      </c>
      <c r="O8" s="577" t="s">
        <v>281</v>
      </c>
      <c r="P8" s="577" t="s">
        <v>1095</v>
      </c>
      <c r="Q8" s="577" t="s">
        <v>281</v>
      </c>
      <c r="R8" s="577" t="s">
        <v>281</v>
      </c>
      <c r="S8" s="577" t="s">
        <v>281</v>
      </c>
      <c r="T8" s="577" t="s">
        <v>1097</v>
      </c>
      <c r="U8" s="577" t="s">
        <v>1097</v>
      </c>
      <c r="V8" s="577" t="s">
        <v>281</v>
      </c>
      <c r="W8" s="577" t="s">
        <v>1097</v>
      </c>
      <c r="X8" s="577" t="s">
        <v>281</v>
      </c>
      <c r="Y8" s="577" t="s">
        <v>281</v>
      </c>
    </row>
    <row r="9">
      <c r="A9" s="575" t="str">
        <f>'Product Features'!B3</f>
        <v>PF-ACT-2.1</v>
      </c>
      <c r="B9" s="576" t="str">
        <f>'Product Features'!C3</f>
        <v>Large vehicles: operate around/ regular interactions (baseline)</v>
      </c>
      <c r="C9" s="575" t="s">
        <v>1098</v>
      </c>
      <c r="D9" s="576" t="s">
        <v>352</v>
      </c>
      <c r="E9" s="577" t="s">
        <v>281</v>
      </c>
      <c r="F9" s="577" t="s">
        <v>281</v>
      </c>
      <c r="G9" s="577" t="s">
        <v>281</v>
      </c>
      <c r="H9" s="577" t="s">
        <v>281</v>
      </c>
      <c r="I9" s="577" t="s">
        <v>281</v>
      </c>
      <c r="J9" s="577" t="s">
        <v>281</v>
      </c>
      <c r="K9" s="577" t="s">
        <v>1094</v>
      </c>
      <c r="L9" s="577" t="s">
        <v>1095</v>
      </c>
      <c r="M9" s="577" t="s">
        <v>281</v>
      </c>
      <c r="N9" s="577" t="s">
        <v>281</v>
      </c>
      <c r="O9" s="577" t="s">
        <v>281</v>
      </c>
      <c r="P9" s="577" t="s">
        <v>1095</v>
      </c>
      <c r="Q9" s="577" t="s">
        <v>281</v>
      </c>
      <c r="R9" s="577" t="s">
        <v>281</v>
      </c>
      <c r="S9" s="577" t="s">
        <v>281</v>
      </c>
      <c r="T9" s="577" t="s">
        <v>1097</v>
      </c>
      <c r="U9" s="577" t="s">
        <v>1097</v>
      </c>
      <c r="V9" s="577" t="s">
        <v>281</v>
      </c>
      <c r="W9" s="577" t="s">
        <v>1097</v>
      </c>
      <c r="X9" s="577" t="s">
        <v>281</v>
      </c>
      <c r="Y9" s="577" t="s">
        <v>281</v>
      </c>
    </row>
    <row r="10">
      <c r="A10" s="575" t="str">
        <f>'Product Features'!B5</f>
        <v>PF-ACT-4.1</v>
      </c>
      <c r="B10" s="576" t="str">
        <f>'Product Features'!C5</f>
        <v>Pedestrian VRUs: operate around/ regular interactions (baseline)</v>
      </c>
      <c r="C10" s="575" t="s">
        <v>1050</v>
      </c>
      <c r="D10" s="576" t="s">
        <v>355</v>
      </c>
      <c r="E10" s="577" t="s">
        <v>281</v>
      </c>
      <c r="F10" s="577" t="s">
        <v>281</v>
      </c>
      <c r="G10" s="577" t="s">
        <v>281</v>
      </c>
      <c r="H10" s="577" t="s">
        <v>281</v>
      </c>
      <c r="I10" s="577" t="s">
        <v>281</v>
      </c>
      <c r="J10" s="577" t="s">
        <v>281</v>
      </c>
      <c r="K10" s="577" t="s">
        <v>1094</v>
      </c>
      <c r="L10" s="577" t="s">
        <v>1095</v>
      </c>
      <c r="M10" s="577" t="s">
        <v>281</v>
      </c>
      <c r="N10" s="577" t="s">
        <v>281</v>
      </c>
      <c r="O10" s="577" t="s">
        <v>281</v>
      </c>
      <c r="P10" s="577" t="s">
        <v>1095</v>
      </c>
      <c r="Q10" s="577" t="s">
        <v>281</v>
      </c>
      <c r="R10" s="577" t="s">
        <v>281</v>
      </c>
      <c r="S10" s="577" t="s">
        <v>281</v>
      </c>
      <c r="T10" s="577" t="s">
        <v>1097</v>
      </c>
      <c r="U10" s="577" t="s">
        <v>1097</v>
      </c>
      <c r="V10" s="577" t="s">
        <v>281</v>
      </c>
      <c r="W10" s="577" t="s">
        <v>1097</v>
      </c>
      <c r="X10" s="577" t="s">
        <v>281</v>
      </c>
      <c r="Y10" s="577" t="s">
        <v>281</v>
      </c>
    </row>
    <row r="11">
      <c r="A11" s="575" t="str">
        <f>'Product Features'!B4</f>
        <v>PF-ACT-3.1</v>
      </c>
      <c r="B11" s="576" t="str">
        <f>'Product Features'!C4</f>
        <v>Motorcycles: operate around/ regular interactions (baseline)</v>
      </c>
      <c r="C11" s="575" t="s">
        <v>1099</v>
      </c>
      <c r="D11" s="576" t="s">
        <v>361</v>
      </c>
      <c r="E11" s="577" t="s">
        <v>281</v>
      </c>
      <c r="F11" s="577" t="s">
        <v>1095</v>
      </c>
      <c r="G11" s="577" t="s">
        <v>281</v>
      </c>
      <c r="H11" s="577" t="s">
        <v>281</v>
      </c>
      <c r="I11" s="577" t="s">
        <v>1095</v>
      </c>
      <c r="J11" s="577" t="s">
        <v>281</v>
      </c>
      <c r="K11" s="577" t="s">
        <v>281</v>
      </c>
      <c r="L11" s="577" t="s">
        <v>281</v>
      </c>
      <c r="M11" s="577" t="s">
        <v>281</v>
      </c>
      <c r="N11" s="577" t="s">
        <v>281</v>
      </c>
      <c r="O11" s="577" t="s">
        <v>281</v>
      </c>
      <c r="P11" s="577" t="s">
        <v>281</v>
      </c>
      <c r="Q11" s="577" t="s">
        <v>1097</v>
      </c>
      <c r="R11" s="577" t="s">
        <v>281</v>
      </c>
      <c r="S11" s="577" t="s">
        <v>281</v>
      </c>
      <c r="T11" s="577" t="s">
        <v>281</v>
      </c>
      <c r="U11" s="577" t="s">
        <v>281</v>
      </c>
      <c r="V11" s="577" t="s">
        <v>1097</v>
      </c>
      <c r="W11" s="577" t="s">
        <v>281</v>
      </c>
      <c r="X11" s="577" t="s">
        <v>1097</v>
      </c>
      <c r="Y11" s="577" t="s">
        <v>1097</v>
      </c>
      <c r="AA11" s="578"/>
      <c r="AC11" s="578"/>
      <c r="AD11" s="578"/>
      <c r="AE11" s="578"/>
      <c r="AF11" s="578"/>
    </row>
    <row r="12">
      <c r="A12" s="575" t="str">
        <f>'Product Features'!B9</f>
        <v/>
      </c>
      <c r="B12" s="576" t="str">
        <f>'Product Features'!C9</f>
        <v/>
      </c>
      <c r="C12" s="575"/>
      <c r="D12" s="576"/>
      <c r="E12" s="6"/>
      <c r="F12" s="6"/>
      <c r="G12" s="6"/>
      <c r="H12" s="6"/>
      <c r="I12" s="6"/>
      <c r="J12" s="6"/>
      <c r="K12" s="6"/>
      <c r="L12" s="6"/>
      <c r="M12" s="6"/>
      <c r="N12" s="6"/>
      <c r="O12" s="6"/>
      <c r="P12" s="6"/>
      <c r="Q12" s="6"/>
      <c r="R12" s="6"/>
      <c r="S12" s="6"/>
      <c r="T12" s="6"/>
      <c r="U12" s="6"/>
      <c r="V12" s="6"/>
      <c r="W12" s="6"/>
      <c r="X12" s="6"/>
      <c r="Y12" s="6"/>
      <c r="AA12" s="572"/>
    </row>
    <row r="13" ht="28.5" customHeight="1">
      <c r="A13" s="575" t="str">
        <f>'Product Features'!B10</f>
        <v>PF-INF-1.1</v>
      </c>
      <c r="B13" s="576" t="str">
        <f>'Product Features'!C10</f>
        <v>Localise into map: baseline</v>
      </c>
      <c r="C13" s="575" t="s">
        <v>662</v>
      </c>
      <c r="D13" s="576" t="s">
        <v>364</v>
      </c>
      <c r="E13" s="577" t="s">
        <v>1095</v>
      </c>
      <c r="F13" s="577" t="s">
        <v>1095</v>
      </c>
      <c r="G13" s="577" t="s">
        <v>1095</v>
      </c>
      <c r="H13" s="577" t="s">
        <v>1096</v>
      </c>
      <c r="I13" s="577" t="s">
        <v>1095</v>
      </c>
      <c r="J13" s="577" t="s">
        <v>1094</v>
      </c>
      <c r="K13" s="577" t="s">
        <v>1094</v>
      </c>
      <c r="L13" s="577" t="s">
        <v>1095</v>
      </c>
      <c r="M13" s="577" t="s">
        <v>1096</v>
      </c>
      <c r="N13" s="577" t="s">
        <v>1097</v>
      </c>
      <c r="O13" s="577" t="s">
        <v>1097</v>
      </c>
      <c r="P13" s="577" t="s">
        <v>1095</v>
      </c>
      <c r="Q13" s="577" t="s">
        <v>1097</v>
      </c>
      <c r="R13" s="579"/>
      <c r="S13" s="579"/>
      <c r="T13" s="577" t="s">
        <v>1097</v>
      </c>
      <c r="U13" s="577" t="s">
        <v>1097</v>
      </c>
      <c r="V13" s="577" t="s">
        <v>1097</v>
      </c>
      <c r="W13" s="577" t="s">
        <v>1097</v>
      </c>
      <c r="X13" s="577" t="s">
        <v>1097</v>
      </c>
      <c r="Y13" s="577" t="s">
        <v>1097</v>
      </c>
      <c r="AA13" s="572"/>
      <c r="AB13" s="10"/>
    </row>
    <row r="14">
      <c r="A14" s="575" t="str">
        <f>'Product Features'!B15</f>
        <v>PF-INF-2.1</v>
      </c>
      <c r="B14" s="576" t="str">
        <f>'Product Features'!C15</f>
        <v>Build map of the environment: baseline</v>
      </c>
      <c r="C14" s="575" t="s">
        <v>669</v>
      </c>
      <c r="D14" s="576" t="s">
        <v>367</v>
      </c>
      <c r="E14" s="577" t="s">
        <v>1095</v>
      </c>
      <c r="F14" s="580" t="s">
        <v>1095</v>
      </c>
      <c r="G14" s="580" t="s">
        <v>1095</v>
      </c>
      <c r="H14" s="580" t="s">
        <v>1096</v>
      </c>
      <c r="I14" s="580" t="s">
        <v>1095</v>
      </c>
      <c r="J14" s="580" t="s">
        <v>1094</v>
      </c>
      <c r="K14" s="580" t="s">
        <v>1094</v>
      </c>
      <c r="L14" s="577" t="s">
        <v>1095</v>
      </c>
      <c r="M14" s="577" t="s">
        <v>1096</v>
      </c>
      <c r="N14" s="577" t="s">
        <v>1097</v>
      </c>
      <c r="O14" s="577" t="s">
        <v>1097</v>
      </c>
      <c r="P14" s="577" t="s">
        <v>1095</v>
      </c>
      <c r="Q14" s="577" t="s">
        <v>1097</v>
      </c>
      <c r="R14" s="579"/>
      <c r="S14" s="579"/>
      <c r="T14" s="577" t="s">
        <v>1097</v>
      </c>
      <c r="U14" s="577" t="s">
        <v>1097</v>
      </c>
      <c r="V14" s="577" t="s">
        <v>1097</v>
      </c>
      <c r="W14" s="577" t="s">
        <v>1097</v>
      </c>
      <c r="X14" s="577" t="s">
        <v>1097</v>
      </c>
      <c r="Y14" s="577" t="s">
        <v>1097</v>
      </c>
      <c r="AA14" s="571"/>
    </row>
    <row r="15">
      <c r="A15" s="575" t="str">
        <f t="shared" ref="A15:B15" si="1">#REF!</f>
        <v>#REF!</v>
      </c>
      <c r="B15" s="576" t="str">
        <f t="shared" si="1"/>
        <v>#REF!</v>
      </c>
      <c r="C15" s="575" t="s">
        <v>672</v>
      </c>
      <c r="D15" s="576" t="s">
        <v>370</v>
      </c>
      <c r="E15" s="577" t="s">
        <v>281</v>
      </c>
      <c r="F15" s="577" t="s">
        <v>281</v>
      </c>
      <c r="G15" s="577" t="s">
        <v>281</v>
      </c>
      <c r="H15" s="577" t="s">
        <v>281</v>
      </c>
      <c r="I15" s="577" t="s">
        <v>281</v>
      </c>
      <c r="J15" s="577" t="s">
        <v>281</v>
      </c>
      <c r="K15" s="577" t="s">
        <v>281</v>
      </c>
      <c r="L15" s="577" t="s">
        <v>1095</v>
      </c>
      <c r="M15" s="577" t="s">
        <v>1096</v>
      </c>
      <c r="N15" s="577" t="s">
        <v>281</v>
      </c>
      <c r="O15" s="577" t="s">
        <v>281</v>
      </c>
      <c r="P15" s="577" t="s">
        <v>1095</v>
      </c>
      <c r="Q15" s="577" t="s">
        <v>1097</v>
      </c>
      <c r="R15" s="577" t="s">
        <v>281</v>
      </c>
      <c r="S15" s="577" t="s">
        <v>281</v>
      </c>
      <c r="T15" s="577" t="s">
        <v>281</v>
      </c>
      <c r="U15" s="577" t="s">
        <v>1097</v>
      </c>
      <c r="V15" s="577" t="s">
        <v>281</v>
      </c>
      <c r="W15" s="577" t="s">
        <v>1097</v>
      </c>
      <c r="X15" s="577" t="s">
        <v>281</v>
      </c>
      <c r="Y15" s="577" t="s">
        <v>281</v>
      </c>
    </row>
    <row r="16">
      <c r="A16" s="575" t="str">
        <f t="shared" ref="A16:B16" si="2">#REF!</f>
        <v>#REF!</v>
      </c>
      <c r="B16" s="576" t="str">
        <f t="shared" si="2"/>
        <v>#REF!</v>
      </c>
      <c r="C16" s="575" t="s">
        <v>675</v>
      </c>
      <c r="D16" s="576" t="s">
        <v>373</v>
      </c>
      <c r="E16" s="577" t="s">
        <v>281</v>
      </c>
      <c r="F16" s="581" t="s">
        <v>281</v>
      </c>
      <c r="G16" s="577" t="s">
        <v>281</v>
      </c>
      <c r="H16" s="577" t="s">
        <v>281</v>
      </c>
      <c r="I16" s="577" t="s">
        <v>1095</v>
      </c>
      <c r="J16" s="577" t="s">
        <v>281</v>
      </c>
      <c r="K16" s="577" t="s">
        <v>281</v>
      </c>
      <c r="L16" s="577" t="s">
        <v>1095</v>
      </c>
      <c r="M16" s="577" t="s">
        <v>281</v>
      </c>
      <c r="N16" s="577" t="s">
        <v>1097</v>
      </c>
      <c r="O16" s="577" t="s">
        <v>1097</v>
      </c>
      <c r="P16" s="577" t="s">
        <v>1095</v>
      </c>
      <c r="Q16" s="577" t="s">
        <v>1097</v>
      </c>
      <c r="R16" s="579"/>
      <c r="S16" s="579"/>
      <c r="T16" s="577" t="s">
        <v>1097</v>
      </c>
      <c r="U16" s="577" t="s">
        <v>1097</v>
      </c>
      <c r="V16" s="577" t="s">
        <v>281</v>
      </c>
      <c r="W16" s="577" t="s">
        <v>1097</v>
      </c>
      <c r="X16" s="577" t="s">
        <v>281</v>
      </c>
      <c r="Y16" s="577" t="s">
        <v>281</v>
      </c>
    </row>
    <row r="17">
      <c r="A17" s="575" t="str">
        <f>'Product Features'!B24</f>
        <v/>
      </c>
      <c r="B17" s="576" t="str">
        <f>'Product Features'!C24</f>
        <v/>
      </c>
      <c r="C17" s="575"/>
      <c r="D17" s="576"/>
      <c r="E17" s="6"/>
      <c r="F17" s="6"/>
      <c r="G17" s="6"/>
      <c r="H17" s="6"/>
      <c r="I17" s="6"/>
      <c r="J17" s="6"/>
      <c r="K17" s="6"/>
      <c r="L17" s="6"/>
      <c r="M17" s="6"/>
      <c r="N17" s="6"/>
      <c r="O17" s="6"/>
      <c r="P17" s="6"/>
      <c r="Q17" s="6"/>
      <c r="R17" s="6"/>
      <c r="S17" s="6"/>
      <c r="T17" s="6"/>
      <c r="U17" s="6"/>
      <c r="V17" s="6"/>
      <c r="W17" s="6"/>
      <c r="X17" s="6"/>
      <c r="Y17" s="6"/>
    </row>
    <row r="18">
      <c r="A18" s="575" t="str">
        <f>'Product Features'!B25</f>
        <v>PF-ENV-1.1</v>
      </c>
      <c r="B18" s="576" t="str">
        <f>'Product Features'!C25</f>
        <v>Ambient Temperature: baseline</v>
      </c>
      <c r="C18" s="575" t="s">
        <v>1100</v>
      </c>
      <c r="D18" s="576" t="s">
        <v>383</v>
      </c>
      <c r="E18" s="577" t="s">
        <v>281</v>
      </c>
      <c r="F18" s="581" t="s">
        <v>281</v>
      </c>
      <c r="G18" s="577" t="s">
        <v>281</v>
      </c>
      <c r="H18" s="577" t="s">
        <v>281</v>
      </c>
      <c r="I18" s="581" t="s">
        <v>281</v>
      </c>
      <c r="J18" s="577" t="s">
        <v>281</v>
      </c>
      <c r="K18" s="577" t="s">
        <v>281</v>
      </c>
      <c r="L18" s="577" t="s">
        <v>281</v>
      </c>
      <c r="M18" s="577" t="s">
        <v>281</v>
      </c>
      <c r="N18" s="577" t="s">
        <v>281</v>
      </c>
      <c r="O18" s="577" t="s">
        <v>281</v>
      </c>
      <c r="P18" s="577" t="s">
        <v>281</v>
      </c>
      <c r="Q18" s="581" t="s">
        <v>281</v>
      </c>
      <c r="R18" s="577" t="s">
        <v>281</v>
      </c>
      <c r="S18" s="577" t="s">
        <v>281</v>
      </c>
      <c r="T18" s="577" t="s">
        <v>1097</v>
      </c>
      <c r="U18" s="577" t="s">
        <v>281</v>
      </c>
      <c r="V18" s="581" t="s">
        <v>281</v>
      </c>
      <c r="W18" s="577" t="s">
        <v>281</v>
      </c>
      <c r="X18" s="581" t="s">
        <v>281</v>
      </c>
      <c r="Y18" s="581" t="s">
        <v>281</v>
      </c>
    </row>
    <row r="19">
      <c r="A19" s="575" t="str">
        <f>'Product Features'!B27</f>
        <v>PF-ENV-2.1</v>
      </c>
      <c r="B19" s="576" t="str">
        <f>'Product Features'!C27</f>
        <v>Precipitation: baseline</v>
      </c>
      <c r="C19" s="575" t="s">
        <v>1101</v>
      </c>
      <c r="D19" s="576" t="s">
        <v>385</v>
      </c>
      <c r="E19" s="577" t="s">
        <v>281</v>
      </c>
      <c r="F19" s="581" t="s">
        <v>281</v>
      </c>
      <c r="G19" s="577" t="s">
        <v>281</v>
      </c>
      <c r="H19" s="577" t="s">
        <v>281</v>
      </c>
      <c r="I19" s="581" t="s">
        <v>281</v>
      </c>
      <c r="J19" s="577" t="s">
        <v>281</v>
      </c>
      <c r="K19" s="577" t="s">
        <v>281</v>
      </c>
      <c r="L19" s="577" t="s">
        <v>281</v>
      </c>
      <c r="M19" s="577" t="s">
        <v>281</v>
      </c>
      <c r="N19" s="577" t="s">
        <v>281</v>
      </c>
      <c r="O19" s="577" t="s">
        <v>281</v>
      </c>
      <c r="P19" s="577" t="s">
        <v>281</v>
      </c>
      <c r="Q19" s="581" t="s">
        <v>281</v>
      </c>
      <c r="R19" s="577" t="s">
        <v>281</v>
      </c>
      <c r="S19" s="577" t="s">
        <v>281</v>
      </c>
      <c r="T19" s="577" t="s">
        <v>281</v>
      </c>
      <c r="U19" s="577" t="s">
        <v>281</v>
      </c>
      <c r="V19" s="581" t="s">
        <v>281</v>
      </c>
      <c r="W19" s="577" t="s">
        <v>281</v>
      </c>
      <c r="X19" s="581" t="s">
        <v>281</v>
      </c>
      <c r="Y19" s="581" t="s">
        <v>281</v>
      </c>
    </row>
    <row r="20">
      <c r="A20" s="575" t="str">
        <f>'Product Features'!B28</f>
        <v>PF-ENV-3.1</v>
      </c>
      <c r="B20" s="576" t="str">
        <f>'Product Features'!C28</f>
        <v>Illumination: baseline</v>
      </c>
      <c r="C20" s="575" t="s">
        <v>1102</v>
      </c>
      <c r="D20" s="576" t="s">
        <v>387</v>
      </c>
      <c r="E20" s="577" t="s">
        <v>281</v>
      </c>
      <c r="F20" s="577" t="s">
        <v>281</v>
      </c>
      <c r="G20" s="577" t="s">
        <v>281</v>
      </c>
      <c r="H20" s="577" t="s">
        <v>281</v>
      </c>
      <c r="I20" s="577" t="s">
        <v>281</v>
      </c>
      <c r="J20" s="577" t="s">
        <v>281</v>
      </c>
      <c r="K20" s="577" t="s">
        <v>281</v>
      </c>
      <c r="L20" s="577" t="s">
        <v>1095</v>
      </c>
      <c r="M20" s="577" t="s">
        <v>1096</v>
      </c>
      <c r="N20" s="577" t="s">
        <v>281</v>
      </c>
      <c r="O20" s="577" t="s">
        <v>281</v>
      </c>
      <c r="P20" s="577" t="s">
        <v>1095</v>
      </c>
      <c r="Q20" s="577" t="s">
        <v>1097</v>
      </c>
      <c r="R20" s="577" t="s">
        <v>281</v>
      </c>
      <c r="S20" s="577" t="s">
        <v>281</v>
      </c>
      <c r="T20" s="577" t="s">
        <v>281</v>
      </c>
      <c r="U20" s="577" t="s">
        <v>1097</v>
      </c>
      <c r="V20" s="577" t="s">
        <v>281</v>
      </c>
      <c r="W20" s="577" t="s">
        <v>1097</v>
      </c>
      <c r="X20" s="577" t="s">
        <v>281</v>
      </c>
      <c r="Y20" s="577" t="s">
        <v>281</v>
      </c>
    </row>
    <row r="21">
      <c r="A21" s="575" t="str">
        <f>'Product Features'!B29</f>
        <v>PF-ENV-4.1</v>
      </c>
      <c r="B21" s="576" t="str">
        <f>'Product Features'!C29</f>
        <v>Visibility: baseline</v>
      </c>
      <c r="C21" s="575" t="s">
        <v>1100</v>
      </c>
      <c r="D21" s="576" t="s">
        <v>390</v>
      </c>
      <c r="E21" s="577" t="s">
        <v>281</v>
      </c>
      <c r="F21" s="577" t="s">
        <v>281</v>
      </c>
      <c r="G21" s="577" t="s">
        <v>281</v>
      </c>
      <c r="H21" s="577" t="s">
        <v>281</v>
      </c>
      <c r="I21" s="577" t="s">
        <v>281</v>
      </c>
      <c r="J21" s="577" t="s">
        <v>281</v>
      </c>
      <c r="K21" s="577" t="s">
        <v>281</v>
      </c>
      <c r="L21" s="577" t="s">
        <v>281</v>
      </c>
      <c r="M21" s="577" t="s">
        <v>281</v>
      </c>
      <c r="N21" s="577" t="s">
        <v>281</v>
      </c>
      <c r="O21" s="577" t="s">
        <v>281</v>
      </c>
      <c r="P21" s="577" t="s">
        <v>281</v>
      </c>
      <c r="Q21" s="577" t="s">
        <v>281</v>
      </c>
      <c r="R21" s="577" t="s">
        <v>281</v>
      </c>
      <c r="S21" s="577" t="s">
        <v>281</v>
      </c>
      <c r="T21" s="577" t="s">
        <v>281</v>
      </c>
      <c r="U21" s="577" t="s">
        <v>281</v>
      </c>
      <c r="V21" s="577" t="s">
        <v>281</v>
      </c>
      <c r="W21" s="577" t="s">
        <v>281</v>
      </c>
      <c r="X21" s="577" t="s">
        <v>281</v>
      </c>
      <c r="Y21" s="577" t="s">
        <v>281</v>
      </c>
    </row>
    <row r="22">
      <c r="A22" s="575" t="str">
        <f>'Product Features'!B30</f>
        <v>PF-ENV-5.1</v>
      </c>
      <c r="B22" s="576" t="str">
        <f>'Product Features'!C30</f>
        <v>Accumulation: baseline</v>
      </c>
      <c r="C22" s="575" t="s">
        <v>1103</v>
      </c>
      <c r="D22" s="576" t="s">
        <v>392</v>
      </c>
      <c r="E22" s="577" t="s">
        <v>281</v>
      </c>
      <c r="F22" s="577" t="s">
        <v>281</v>
      </c>
      <c r="G22" s="577" t="s">
        <v>281</v>
      </c>
      <c r="H22" s="577" t="s">
        <v>281</v>
      </c>
      <c r="I22" s="577" t="s">
        <v>1095</v>
      </c>
      <c r="J22" s="577" t="s">
        <v>281</v>
      </c>
      <c r="K22" s="577" t="s">
        <v>281</v>
      </c>
      <c r="L22" s="577" t="s">
        <v>281</v>
      </c>
      <c r="M22" s="577" t="s">
        <v>281</v>
      </c>
      <c r="N22" s="577" t="s">
        <v>281</v>
      </c>
      <c r="O22" s="577" t="s">
        <v>281</v>
      </c>
      <c r="P22" s="577" t="s">
        <v>281</v>
      </c>
      <c r="Q22" s="577" t="s">
        <v>1097</v>
      </c>
      <c r="R22" s="577" t="s">
        <v>281</v>
      </c>
      <c r="S22" s="577" t="s">
        <v>281</v>
      </c>
      <c r="T22" s="577" t="s">
        <v>281</v>
      </c>
      <c r="U22" s="577" t="s">
        <v>281</v>
      </c>
      <c r="V22" s="577" t="s">
        <v>1097</v>
      </c>
      <c r="W22" s="577" t="s">
        <v>281</v>
      </c>
      <c r="X22" s="577" t="s">
        <v>1097</v>
      </c>
      <c r="Y22" s="577" t="s">
        <v>1097</v>
      </c>
    </row>
    <row r="23">
      <c r="A23" s="575" t="str">
        <f>'Product Features'!B31</f>
        <v>PF-ENV-6.1</v>
      </c>
      <c r="B23" s="576" t="str">
        <f>'Product Features'!C31</f>
        <v>Ground cover: baseline</v>
      </c>
      <c r="C23" s="575" t="s">
        <v>1104</v>
      </c>
      <c r="D23" s="576" t="s">
        <v>395</v>
      </c>
      <c r="E23" s="577" t="s">
        <v>281</v>
      </c>
      <c r="F23" s="577" t="s">
        <v>281</v>
      </c>
      <c r="G23" s="577" t="s">
        <v>281</v>
      </c>
      <c r="H23" s="577" t="s">
        <v>281</v>
      </c>
      <c r="I23" s="577" t="s">
        <v>1095</v>
      </c>
      <c r="J23" s="577" t="s">
        <v>281</v>
      </c>
      <c r="K23" s="577" t="s">
        <v>281</v>
      </c>
      <c r="L23" s="577" t="s">
        <v>281</v>
      </c>
      <c r="M23" s="577" t="s">
        <v>281</v>
      </c>
      <c r="N23" s="577" t="s">
        <v>281</v>
      </c>
      <c r="O23" s="577" t="s">
        <v>281</v>
      </c>
      <c r="P23" s="577" t="s">
        <v>281</v>
      </c>
      <c r="Q23" s="577" t="s">
        <v>1097</v>
      </c>
      <c r="R23" s="577" t="s">
        <v>281</v>
      </c>
      <c r="S23" s="577" t="s">
        <v>281</v>
      </c>
      <c r="T23" s="577" t="s">
        <v>281</v>
      </c>
      <c r="U23" s="577" t="s">
        <v>281</v>
      </c>
      <c r="V23" s="577" t="s">
        <v>1097</v>
      </c>
      <c r="W23" s="577" t="s">
        <v>281</v>
      </c>
      <c r="X23" s="577" t="s">
        <v>1097</v>
      </c>
      <c r="Y23" s="577" t="s">
        <v>1097</v>
      </c>
    </row>
    <row r="24">
      <c r="A24" s="575" t="str">
        <f>'Product Features'!B47</f>
        <v/>
      </c>
      <c r="B24" s="576" t="str">
        <f>'Product Features'!C47</f>
        <v/>
      </c>
      <c r="D24" s="6"/>
      <c r="E24" s="6"/>
      <c r="F24" s="6"/>
      <c r="G24" s="6"/>
      <c r="H24" s="6"/>
      <c r="I24" s="6"/>
      <c r="J24" s="6"/>
      <c r="K24" s="6"/>
      <c r="L24" s="6"/>
      <c r="M24" s="6"/>
      <c r="N24" s="6"/>
      <c r="O24" s="6"/>
      <c r="P24" s="6"/>
      <c r="Q24" s="6"/>
      <c r="R24" s="6"/>
      <c r="S24" s="6"/>
      <c r="T24" s="6"/>
      <c r="U24" s="6"/>
      <c r="V24" s="6"/>
      <c r="W24" s="6"/>
      <c r="X24" s="6"/>
      <c r="Y24" s="6"/>
    </row>
    <row r="25">
      <c r="A25" s="575" t="str">
        <f t="shared" ref="A25:B25" si="3">#REF!</f>
        <v>#REF!</v>
      </c>
      <c r="B25" s="576" t="str">
        <f t="shared" si="3"/>
        <v>#REF!</v>
      </c>
      <c r="C25" s="575" t="s">
        <v>1105</v>
      </c>
      <c r="D25" s="576" t="s">
        <v>1106</v>
      </c>
      <c r="E25" s="6"/>
      <c r="F25" s="6"/>
      <c r="G25" s="6"/>
      <c r="H25" s="6"/>
      <c r="I25" s="6"/>
      <c r="J25" s="6"/>
      <c r="K25" s="6"/>
      <c r="L25" s="6"/>
      <c r="M25" s="6"/>
      <c r="N25" s="6"/>
      <c r="O25" s="6"/>
      <c r="P25" s="6"/>
      <c r="Q25" s="6"/>
      <c r="R25" s="6"/>
      <c r="S25" s="6"/>
      <c r="T25" s="6"/>
      <c r="U25" s="6"/>
      <c r="V25" s="6"/>
      <c r="W25" s="6"/>
      <c r="X25" s="6"/>
      <c r="Y25" s="6"/>
    </row>
    <row r="26">
      <c r="A26" s="575" t="str">
        <f t="shared" ref="A26:B26" si="4">#REF!</f>
        <v>#REF!</v>
      </c>
      <c r="B26" s="576" t="str">
        <f t="shared" si="4"/>
        <v>#REF!</v>
      </c>
      <c r="C26" s="575" t="s">
        <v>1107</v>
      </c>
      <c r="D26" s="576" t="s">
        <v>1108</v>
      </c>
      <c r="E26" s="577" t="s">
        <v>281</v>
      </c>
      <c r="F26" s="577" t="s">
        <v>281</v>
      </c>
      <c r="G26" s="577" t="s">
        <v>281</v>
      </c>
      <c r="H26" s="577" t="s">
        <v>281</v>
      </c>
      <c r="I26" s="577" t="s">
        <v>281</v>
      </c>
      <c r="J26" s="577" t="s">
        <v>1094</v>
      </c>
      <c r="K26" s="577" t="s">
        <v>1094</v>
      </c>
      <c r="L26" s="577" t="s">
        <v>1095</v>
      </c>
      <c r="M26" s="577" t="s">
        <v>1096</v>
      </c>
      <c r="N26" s="577" t="s">
        <v>1097</v>
      </c>
      <c r="O26" s="577" t="s">
        <v>1097</v>
      </c>
      <c r="P26" s="577" t="s">
        <v>1095</v>
      </c>
      <c r="Q26" s="577" t="s">
        <v>1097</v>
      </c>
      <c r="R26" s="577" t="s">
        <v>281</v>
      </c>
      <c r="S26" s="577" t="s">
        <v>281</v>
      </c>
      <c r="T26" s="577" t="s">
        <v>1097</v>
      </c>
      <c r="U26" s="577" t="s">
        <v>1097</v>
      </c>
      <c r="V26" s="577" t="s">
        <v>281</v>
      </c>
      <c r="W26" s="577" t="s">
        <v>1097</v>
      </c>
      <c r="X26" s="577" t="s">
        <v>281</v>
      </c>
      <c r="Y26" s="577" t="s">
        <v>281</v>
      </c>
    </row>
    <row r="27">
      <c r="A27" s="575" t="str">
        <f t="shared" ref="A27:B27" si="5">#REF!</f>
        <v>#REF!</v>
      </c>
      <c r="B27" s="576" t="str">
        <f t="shared" si="5"/>
        <v>#REF!</v>
      </c>
      <c r="C27" s="575" t="s">
        <v>1109</v>
      </c>
      <c r="D27" s="576" t="s">
        <v>1110</v>
      </c>
      <c r="E27" s="577" t="s">
        <v>281</v>
      </c>
      <c r="F27" s="577" t="s">
        <v>281</v>
      </c>
      <c r="G27" s="577" t="s">
        <v>281</v>
      </c>
      <c r="H27" s="577" t="s">
        <v>281</v>
      </c>
      <c r="I27" s="577" t="s">
        <v>281</v>
      </c>
      <c r="J27" s="577" t="s">
        <v>281</v>
      </c>
      <c r="K27" s="577" t="s">
        <v>281</v>
      </c>
      <c r="L27" s="577" t="s">
        <v>281</v>
      </c>
      <c r="M27" s="577" t="s">
        <v>1096</v>
      </c>
      <c r="N27" s="577" t="s">
        <v>281</v>
      </c>
      <c r="O27" s="577" t="s">
        <v>281</v>
      </c>
      <c r="P27" s="577" t="s">
        <v>281</v>
      </c>
      <c r="Q27" s="577" t="s">
        <v>1097</v>
      </c>
      <c r="R27" s="577" t="s">
        <v>281</v>
      </c>
      <c r="S27" s="577" t="s">
        <v>281</v>
      </c>
      <c r="T27" s="577" t="s">
        <v>1097</v>
      </c>
      <c r="U27" s="577" t="s">
        <v>1097</v>
      </c>
      <c r="V27" s="577" t="s">
        <v>281</v>
      </c>
      <c r="W27" s="577" t="s">
        <v>281</v>
      </c>
      <c r="X27" s="577" t="s">
        <v>281</v>
      </c>
      <c r="Y27" s="577" t="s">
        <v>281</v>
      </c>
    </row>
    <row r="28">
      <c r="A28" s="575" t="str">
        <f t="shared" ref="A28:B28" si="6">#REF!</f>
        <v>#REF!</v>
      </c>
      <c r="B28" s="576" t="str">
        <f t="shared" si="6"/>
        <v>#REF!</v>
      </c>
      <c r="C28" s="575" t="s">
        <v>1111</v>
      </c>
      <c r="D28" s="576" t="s">
        <v>1112</v>
      </c>
      <c r="E28" s="577" t="s">
        <v>281</v>
      </c>
      <c r="F28" s="577" t="s">
        <v>281</v>
      </c>
      <c r="G28" s="577" t="s">
        <v>281</v>
      </c>
      <c r="H28" s="577" t="s">
        <v>281</v>
      </c>
      <c r="I28" s="577" t="s">
        <v>281</v>
      </c>
      <c r="J28" s="577" t="s">
        <v>281</v>
      </c>
      <c r="K28" s="577" t="s">
        <v>281</v>
      </c>
      <c r="L28" s="577" t="s">
        <v>281</v>
      </c>
      <c r="M28" s="577" t="s">
        <v>1096</v>
      </c>
      <c r="N28" s="577" t="s">
        <v>281</v>
      </c>
      <c r="O28" s="577" t="s">
        <v>281</v>
      </c>
      <c r="P28" s="577" t="s">
        <v>281</v>
      </c>
      <c r="Q28" s="577" t="s">
        <v>281</v>
      </c>
      <c r="R28" s="577" t="s">
        <v>281</v>
      </c>
      <c r="S28" s="577" t="s">
        <v>281</v>
      </c>
      <c r="T28" s="577" t="s">
        <v>1097</v>
      </c>
      <c r="U28" s="577" t="s">
        <v>281</v>
      </c>
      <c r="V28" s="577" t="s">
        <v>281</v>
      </c>
      <c r="W28" s="577" t="s">
        <v>281</v>
      </c>
      <c r="X28" s="577" t="s">
        <v>281</v>
      </c>
      <c r="Y28" s="577" t="s">
        <v>281</v>
      </c>
    </row>
    <row r="29">
      <c r="A29" s="575" t="str">
        <f t="shared" ref="A29:B29" si="7">#REF!</f>
        <v>#REF!</v>
      </c>
      <c r="B29" s="576" t="str">
        <f t="shared" si="7"/>
        <v>#REF!</v>
      </c>
      <c r="C29" s="575" t="s">
        <v>1113</v>
      </c>
      <c r="D29" s="576" t="s">
        <v>1114</v>
      </c>
      <c r="E29" s="577" t="s">
        <v>281</v>
      </c>
      <c r="F29" s="577" t="s">
        <v>281</v>
      </c>
      <c r="G29" s="577" t="s">
        <v>281</v>
      </c>
      <c r="H29" s="577" t="s">
        <v>281</v>
      </c>
      <c r="I29" s="577" t="s">
        <v>281</v>
      </c>
      <c r="J29" s="577" t="s">
        <v>281</v>
      </c>
      <c r="K29" s="577" t="s">
        <v>281</v>
      </c>
      <c r="L29" s="577" t="s">
        <v>281</v>
      </c>
      <c r="M29" s="577" t="s">
        <v>281</v>
      </c>
      <c r="N29" s="577" t="s">
        <v>281</v>
      </c>
      <c r="O29" s="577" t="s">
        <v>281</v>
      </c>
      <c r="P29" s="577" t="s">
        <v>281</v>
      </c>
      <c r="Q29" s="577" t="s">
        <v>1097</v>
      </c>
      <c r="R29" s="577" t="s">
        <v>281</v>
      </c>
      <c r="S29" s="577" t="s">
        <v>281</v>
      </c>
      <c r="T29" s="577" t="s">
        <v>1097</v>
      </c>
      <c r="U29" s="577" t="s">
        <v>1097</v>
      </c>
      <c r="V29" s="577" t="s">
        <v>281</v>
      </c>
      <c r="W29" s="577" t="s">
        <v>1097</v>
      </c>
      <c r="X29" s="577" t="s">
        <v>281</v>
      </c>
      <c r="Y29" s="577" t="s">
        <v>281</v>
      </c>
    </row>
    <row r="30">
      <c r="A30" s="575" t="str">
        <f t="shared" ref="A30:B30" si="8">#REF!</f>
        <v>#REF!</v>
      </c>
      <c r="B30" s="576" t="str">
        <f t="shared" si="8"/>
        <v>#REF!</v>
      </c>
      <c r="C30" s="575" t="s">
        <v>1115</v>
      </c>
      <c r="D30" s="576" t="s">
        <v>1116</v>
      </c>
      <c r="E30" s="577" t="s">
        <v>281</v>
      </c>
      <c r="F30" s="577" t="s">
        <v>281</v>
      </c>
      <c r="G30" s="577" t="s">
        <v>281</v>
      </c>
      <c r="H30" s="577" t="s">
        <v>281</v>
      </c>
      <c r="I30" s="577" t="s">
        <v>281</v>
      </c>
      <c r="J30" s="577" t="s">
        <v>281</v>
      </c>
      <c r="K30" s="577" t="s">
        <v>281</v>
      </c>
      <c r="L30" s="577" t="s">
        <v>281</v>
      </c>
      <c r="M30" s="577" t="s">
        <v>281</v>
      </c>
      <c r="N30" s="577" t="s">
        <v>281</v>
      </c>
      <c r="O30" s="577" t="s">
        <v>281</v>
      </c>
      <c r="P30" s="577" t="s">
        <v>281</v>
      </c>
      <c r="Q30" s="577" t="s">
        <v>281</v>
      </c>
      <c r="R30" s="577" t="s">
        <v>281</v>
      </c>
      <c r="S30" s="577" t="s">
        <v>281</v>
      </c>
      <c r="T30" s="577" t="s">
        <v>1097</v>
      </c>
      <c r="U30" s="577" t="s">
        <v>281</v>
      </c>
      <c r="V30" s="577" t="s">
        <v>281</v>
      </c>
      <c r="W30" s="577" t="s">
        <v>281</v>
      </c>
      <c r="X30" s="577" t="s">
        <v>281</v>
      </c>
      <c r="Y30" s="577" t="s">
        <v>281</v>
      </c>
    </row>
    <row r="31">
      <c r="A31" s="575" t="str">
        <f t="shared" ref="A31:B31" si="9">#REF!</f>
        <v>#REF!</v>
      </c>
      <c r="B31" s="576" t="str">
        <f t="shared" si="9"/>
        <v>#REF!</v>
      </c>
      <c r="D31" s="6"/>
      <c r="E31" s="6"/>
      <c r="F31" s="6"/>
      <c r="G31" s="6"/>
      <c r="H31" s="6"/>
      <c r="I31" s="6"/>
      <c r="J31" s="6"/>
      <c r="K31" s="6"/>
      <c r="L31" s="6"/>
      <c r="M31" s="6"/>
      <c r="N31" s="6"/>
      <c r="O31" s="6"/>
      <c r="P31" s="6"/>
      <c r="Q31" s="6"/>
      <c r="R31" s="6"/>
      <c r="S31" s="6"/>
      <c r="T31" s="6"/>
      <c r="U31" s="6"/>
      <c r="V31" s="6"/>
      <c r="W31" s="6"/>
      <c r="X31" s="6"/>
      <c r="Y31" s="6"/>
    </row>
    <row r="32">
      <c r="A32" s="575" t="str">
        <f>'Product Features'!B48</f>
        <v>PF-SV-1.1</v>
      </c>
      <c r="B32" s="576" t="str">
        <f>'Product Features'!C48</f>
        <v>Internal Supervision (SDIC)</v>
      </c>
      <c r="C32" s="575" t="s">
        <v>1117</v>
      </c>
      <c r="D32" s="576" t="s">
        <v>253</v>
      </c>
      <c r="E32" s="6"/>
      <c r="F32" s="6"/>
      <c r="G32" s="6"/>
      <c r="H32" s="6"/>
      <c r="I32" s="6"/>
      <c r="J32" s="6"/>
      <c r="K32" s="6"/>
      <c r="L32" s="6"/>
      <c r="M32" s="6"/>
      <c r="N32" s="6"/>
      <c r="O32" s="6"/>
      <c r="P32" s="6"/>
      <c r="Q32" s="6"/>
      <c r="R32" s="6"/>
      <c r="S32" s="6"/>
      <c r="T32" s="6"/>
      <c r="U32" s="6"/>
      <c r="V32" s="6"/>
      <c r="W32" s="6"/>
      <c r="X32" s="6"/>
      <c r="Y32" s="6"/>
    </row>
    <row r="33">
      <c r="A33" s="575" t="str">
        <f>'Product Features'!B49</f>
        <v>PF-SV-2.1</v>
      </c>
      <c r="B33" s="576" t="str">
        <f>'Product Features'!C49</f>
        <v>External Supervision (Line-of-Sight)</v>
      </c>
      <c r="C33" s="575" t="s">
        <v>728</v>
      </c>
      <c r="D33" s="576" t="s">
        <v>1118</v>
      </c>
      <c r="E33" s="577" t="s">
        <v>1095</v>
      </c>
      <c r="F33" s="577" t="s">
        <v>1095</v>
      </c>
      <c r="G33" s="577" t="s">
        <v>1095</v>
      </c>
      <c r="H33" s="577" t="s">
        <v>1096</v>
      </c>
      <c r="I33" s="577" t="s">
        <v>1095</v>
      </c>
      <c r="J33" s="577" t="s">
        <v>1094</v>
      </c>
      <c r="K33" s="577" t="s">
        <v>1094</v>
      </c>
      <c r="L33" s="577" t="s">
        <v>1095</v>
      </c>
      <c r="M33" s="577" t="s">
        <v>1096</v>
      </c>
      <c r="N33" s="577" t="s">
        <v>1097</v>
      </c>
      <c r="O33" s="577" t="s">
        <v>1097</v>
      </c>
      <c r="P33" s="577" t="s">
        <v>1095</v>
      </c>
      <c r="Q33" s="577" t="s">
        <v>1097</v>
      </c>
      <c r="R33" s="579"/>
      <c r="S33" s="579"/>
      <c r="T33" s="577" t="s">
        <v>1097</v>
      </c>
      <c r="U33" s="577" t="s">
        <v>1097</v>
      </c>
      <c r="V33" s="577" t="s">
        <v>1097</v>
      </c>
      <c r="W33" s="577" t="s">
        <v>1097</v>
      </c>
      <c r="X33" s="577" t="s">
        <v>1097</v>
      </c>
      <c r="Y33" s="577" t="s">
        <v>1097</v>
      </c>
    </row>
    <row r="34">
      <c r="A34" s="575" t="str">
        <f>'Product Features'!B50</f>
        <v>PF-SV-3.1</v>
      </c>
      <c r="B34" s="576" t="str">
        <f>'Product Features'!C50</f>
        <v>Remote Monitoring: M0</v>
      </c>
      <c r="C34" s="575" t="s">
        <v>730</v>
      </c>
      <c r="D34" s="576" t="s">
        <v>731</v>
      </c>
      <c r="E34" s="577" t="s">
        <v>281</v>
      </c>
      <c r="F34" s="577" t="s">
        <v>281</v>
      </c>
      <c r="G34" s="577" t="s">
        <v>281</v>
      </c>
      <c r="H34" s="577" t="s">
        <v>1096</v>
      </c>
      <c r="I34" s="577" t="s">
        <v>281</v>
      </c>
      <c r="J34" s="577" t="s">
        <v>281</v>
      </c>
      <c r="K34" s="577" t="s">
        <v>281</v>
      </c>
      <c r="L34" s="577" t="s">
        <v>1095</v>
      </c>
      <c r="M34" s="577" t="s">
        <v>1096</v>
      </c>
      <c r="N34" s="577" t="s">
        <v>281</v>
      </c>
      <c r="O34" s="577" t="s">
        <v>281</v>
      </c>
      <c r="P34" s="577" t="s">
        <v>281</v>
      </c>
      <c r="Q34" s="577" t="s">
        <v>281</v>
      </c>
      <c r="R34" s="577" t="s">
        <v>281</v>
      </c>
      <c r="S34" s="577" t="s">
        <v>281</v>
      </c>
      <c r="T34" s="577" t="s">
        <v>281</v>
      </c>
      <c r="U34" s="577" t="s">
        <v>281</v>
      </c>
      <c r="V34" s="577" t="s">
        <v>281</v>
      </c>
      <c r="W34" s="577" t="s">
        <v>281</v>
      </c>
      <c r="X34" s="577" t="s">
        <v>281</v>
      </c>
      <c r="Y34" s="577" t="s">
        <v>281</v>
      </c>
    </row>
    <row r="35">
      <c r="A35" s="575" t="str">
        <f>'Product Features'!B51</f>
        <v>PF-SV-4.1</v>
      </c>
      <c r="B35" s="576" t="str">
        <f>'Product Features'!C51</f>
        <v>Remote Supervision: Remote Intervention</v>
      </c>
      <c r="C35" s="575" t="s">
        <v>732</v>
      </c>
      <c r="D35" s="576" t="s">
        <v>1119</v>
      </c>
      <c r="E35" s="577" t="s">
        <v>281</v>
      </c>
      <c r="F35" s="577" t="s">
        <v>281</v>
      </c>
      <c r="G35" s="577" t="s">
        <v>281</v>
      </c>
      <c r="H35" s="577" t="s">
        <v>281</v>
      </c>
      <c r="I35" s="577" t="s">
        <v>281</v>
      </c>
      <c r="J35" s="577" t="s">
        <v>281</v>
      </c>
      <c r="K35" s="577" t="s">
        <v>281</v>
      </c>
      <c r="L35" s="577" t="s">
        <v>1095</v>
      </c>
      <c r="M35" s="577" t="s">
        <v>1096</v>
      </c>
      <c r="N35" s="577" t="s">
        <v>1097</v>
      </c>
      <c r="O35" s="577" t="s">
        <v>1097</v>
      </c>
      <c r="P35" s="577" t="s">
        <v>281</v>
      </c>
      <c r="Q35" s="577" t="s">
        <v>1097</v>
      </c>
      <c r="R35" s="579"/>
      <c r="S35" s="579"/>
      <c r="T35" s="577" t="s">
        <v>1097</v>
      </c>
      <c r="U35" s="577" t="s">
        <v>1097</v>
      </c>
      <c r="V35" s="577" t="s">
        <v>1097</v>
      </c>
      <c r="W35" s="577" t="s">
        <v>1097</v>
      </c>
      <c r="X35" s="577" t="s">
        <v>1097</v>
      </c>
      <c r="Y35" s="577" t="s">
        <v>1097</v>
      </c>
    </row>
    <row r="36">
      <c r="A36" s="575" t="str">
        <f>'Product Features'!B52</f>
        <v>PF-SV-5.1</v>
      </c>
      <c r="B36" s="576" t="str">
        <f>'Product Features'!C52</f>
        <v>Remote Assistance: Remote Driving (M4)</v>
      </c>
      <c r="C36" s="575" t="s">
        <v>735</v>
      </c>
      <c r="D36" s="576" t="s">
        <v>1120</v>
      </c>
      <c r="E36" s="577" t="s">
        <v>281</v>
      </c>
      <c r="F36" s="577" t="s">
        <v>281</v>
      </c>
      <c r="G36" s="577" t="s">
        <v>281</v>
      </c>
      <c r="H36" s="577" t="s">
        <v>281</v>
      </c>
      <c r="I36" s="577" t="s">
        <v>281</v>
      </c>
      <c r="J36" s="577" t="s">
        <v>281</v>
      </c>
      <c r="K36" s="577" t="s">
        <v>281</v>
      </c>
      <c r="L36" s="577" t="s">
        <v>281</v>
      </c>
      <c r="M36" s="577" t="s">
        <v>1096</v>
      </c>
      <c r="N36" s="577" t="s">
        <v>1097</v>
      </c>
      <c r="O36" s="577" t="s">
        <v>1097</v>
      </c>
      <c r="P36" s="577" t="s">
        <v>281</v>
      </c>
      <c r="Q36" s="577" t="s">
        <v>1097</v>
      </c>
      <c r="R36" s="579"/>
      <c r="S36" s="579"/>
      <c r="T36" s="577" t="s">
        <v>1097</v>
      </c>
      <c r="U36" s="577" t="s">
        <v>1097</v>
      </c>
      <c r="V36" s="577" t="s">
        <v>1097</v>
      </c>
      <c r="W36" s="577" t="s">
        <v>1097</v>
      </c>
      <c r="X36" s="577" t="s">
        <v>1097</v>
      </c>
      <c r="Y36" s="577" t="s">
        <v>1097</v>
      </c>
    </row>
    <row r="37">
      <c r="A37" s="575" t="str">
        <f>'Product Features'!B56</f>
        <v/>
      </c>
      <c r="B37" s="576" t="str">
        <f>'Product Features'!C56</f>
        <v/>
      </c>
      <c r="C37" s="575"/>
      <c r="D37" s="576"/>
      <c r="E37" s="6"/>
      <c r="F37" s="6"/>
      <c r="G37" s="6"/>
      <c r="H37" s="6"/>
      <c r="I37" s="6"/>
      <c r="J37" s="6"/>
      <c r="K37" s="6"/>
      <c r="L37" s="6"/>
      <c r="M37" s="6"/>
      <c r="N37" s="6"/>
      <c r="O37" s="6"/>
      <c r="P37" s="6"/>
      <c r="Q37" s="6"/>
      <c r="R37" s="6"/>
      <c r="S37" s="6"/>
      <c r="T37" s="6"/>
      <c r="U37" s="6"/>
      <c r="V37" s="6"/>
      <c r="W37" s="6"/>
      <c r="X37" s="6"/>
      <c r="Y37" s="6"/>
    </row>
    <row r="38">
      <c r="A38" s="575" t="str">
        <f>'Product Features'!B57</f>
        <v>PF-HRI-1.1</v>
      </c>
      <c r="B38" s="576" t="str">
        <f>'Product Features'!C57</f>
        <v>Safe Operation: Limit motion towards nearby humans sharing operational space</v>
      </c>
      <c r="C38" s="575" t="s">
        <v>1121</v>
      </c>
      <c r="D38" s="576" t="s">
        <v>748</v>
      </c>
      <c r="E38" s="6"/>
      <c r="F38" s="6"/>
      <c r="G38" s="6"/>
      <c r="H38" s="6"/>
      <c r="I38" s="6"/>
      <c r="J38" s="6"/>
      <c r="K38" s="6"/>
      <c r="L38" s="6"/>
      <c r="M38" s="6"/>
      <c r="N38" s="6"/>
      <c r="O38" s="6"/>
      <c r="P38" s="6"/>
      <c r="Q38" s="6"/>
      <c r="R38" s="6"/>
      <c r="S38" s="6"/>
      <c r="T38" s="6"/>
      <c r="U38" s="6"/>
      <c r="V38" s="6"/>
      <c r="W38" s="6"/>
      <c r="X38" s="6"/>
      <c r="Y38" s="6"/>
    </row>
    <row r="39">
      <c r="A39" s="575" t="str">
        <f>'Product Features'!B59</f>
        <v>PF-HRI-3.1</v>
      </c>
      <c r="B39" s="576" t="str">
        <f>'Product Features'!C59</f>
        <v>External HMI: HMI to continue mission (and switch out of SAFESTATE)</v>
      </c>
      <c r="C39" s="575" t="s">
        <v>749</v>
      </c>
      <c r="D39" s="576" t="s">
        <v>1122</v>
      </c>
      <c r="E39" s="577" t="s">
        <v>281</v>
      </c>
      <c r="F39" s="577" t="s">
        <v>281</v>
      </c>
      <c r="G39" s="577" t="s">
        <v>281</v>
      </c>
      <c r="H39" s="577" t="s">
        <v>281</v>
      </c>
      <c r="I39" s="577" t="s">
        <v>281</v>
      </c>
      <c r="J39" s="577" t="s">
        <v>281</v>
      </c>
      <c r="K39" s="577" t="s">
        <v>281</v>
      </c>
      <c r="L39" s="577" t="s">
        <v>281</v>
      </c>
      <c r="M39" s="577" t="s">
        <v>281</v>
      </c>
      <c r="N39" s="577" t="s">
        <v>1097</v>
      </c>
      <c r="O39" s="577" t="s">
        <v>1097</v>
      </c>
      <c r="P39" s="577" t="s">
        <v>281</v>
      </c>
      <c r="Q39" s="577" t="s">
        <v>281</v>
      </c>
      <c r="R39" s="577" t="s">
        <v>281</v>
      </c>
      <c r="S39" s="577" t="s">
        <v>281</v>
      </c>
      <c r="T39" s="577" t="s">
        <v>281</v>
      </c>
      <c r="U39" s="577" t="s">
        <v>281</v>
      </c>
      <c r="V39" s="577" t="s">
        <v>281</v>
      </c>
      <c r="W39" s="577" t="s">
        <v>281</v>
      </c>
      <c r="X39" s="577" t="s">
        <v>281</v>
      </c>
      <c r="Y39" s="577" t="s">
        <v>281</v>
      </c>
    </row>
    <row r="40">
      <c r="A40" s="575" t="str">
        <f t="shared" ref="A40:B40" si="10">#REF!</f>
        <v>#REF!</v>
      </c>
      <c r="B40" s="576" t="str">
        <f t="shared" si="10"/>
        <v>#REF!</v>
      </c>
      <c r="C40" s="575" t="s">
        <v>751</v>
      </c>
      <c r="D40" s="576" t="s">
        <v>753</v>
      </c>
      <c r="E40" s="577" t="s">
        <v>281</v>
      </c>
      <c r="F40" s="577" t="s">
        <v>281</v>
      </c>
      <c r="G40" s="577" t="s">
        <v>281</v>
      </c>
      <c r="H40" s="577" t="s">
        <v>281</v>
      </c>
      <c r="I40" s="577" t="s">
        <v>281</v>
      </c>
      <c r="J40" s="577" t="s">
        <v>281</v>
      </c>
      <c r="K40" s="577" t="s">
        <v>281</v>
      </c>
      <c r="L40" s="577" t="s">
        <v>281</v>
      </c>
      <c r="M40" s="577" t="s">
        <v>281</v>
      </c>
      <c r="N40" s="577" t="s">
        <v>1097</v>
      </c>
      <c r="O40" s="577" t="s">
        <v>1097</v>
      </c>
      <c r="P40" s="577" t="s">
        <v>281</v>
      </c>
      <c r="Q40" s="577" t="s">
        <v>281</v>
      </c>
      <c r="R40" s="577" t="s">
        <v>281</v>
      </c>
      <c r="S40" s="577" t="s">
        <v>281</v>
      </c>
      <c r="T40" s="577" t="s">
        <v>281</v>
      </c>
      <c r="U40" s="577" t="s">
        <v>281</v>
      </c>
      <c r="V40" s="577" t="s">
        <v>281</v>
      </c>
      <c r="W40" s="577" t="s">
        <v>281</v>
      </c>
      <c r="X40" s="577" t="s">
        <v>281</v>
      </c>
      <c r="Y40" s="577" t="s">
        <v>281</v>
      </c>
    </row>
    <row r="41">
      <c r="A41" s="575" t="str">
        <f>'Product Features'!B60</f>
        <v/>
      </c>
      <c r="B41" s="576" t="str">
        <f>'Product Features'!C60</f>
        <v/>
      </c>
      <c r="C41" s="575"/>
      <c r="D41" s="576"/>
      <c r="E41" s="6"/>
      <c r="F41" s="6"/>
      <c r="G41" s="6"/>
      <c r="H41" s="6"/>
      <c r="I41" s="6"/>
      <c r="J41" s="6"/>
      <c r="K41" s="6"/>
      <c r="L41" s="6"/>
      <c r="M41" s="6"/>
      <c r="N41" s="6"/>
      <c r="O41" s="6"/>
      <c r="P41" s="6"/>
      <c r="Q41" s="6"/>
      <c r="R41" s="6"/>
      <c r="S41" s="6"/>
      <c r="T41" s="6"/>
      <c r="U41" s="6"/>
      <c r="V41" s="6"/>
      <c r="W41" s="6"/>
      <c r="X41" s="6"/>
      <c r="Y41" s="6"/>
    </row>
    <row r="42">
      <c r="A42" s="575" t="str">
        <f>'Product Features'!B61</f>
        <v>PF-FWD-1.1</v>
      </c>
      <c r="B42" s="576" t="str">
        <f>'Product Features'!C61</f>
        <v>Stay in lane: AV only</v>
      </c>
      <c r="C42" s="575" t="s">
        <v>1123</v>
      </c>
      <c r="D42" s="576" t="s">
        <v>1124</v>
      </c>
      <c r="E42" s="6"/>
      <c r="F42" s="6"/>
      <c r="G42" s="6"/>
      <c r="H42" s="6"/>
      <c r="I42" s="6"/>
      <c r="J42" s="6"/>
      <c r="K42" s="6"/>
      <c r="L42" s="6"/>
      <c r="M42" s="6"/>
      <c r="N42" s="6"/>
      <c r="O42" s="6"/>
      <c r="P42" s="6"/>
      <c r="Q42" s="6"/>
      <c r="R42" s="6"/>
      <c r="S42" s="6"/>
      <c r="T42" s="6"/>
      <c r="U42" s="6"/>
      <c r="V42" s="6"/>
      <c r="W42" s="6"/>
      <c r="X42" s="6"/>
      <c r="Y42" s="6"/>
    </row>
    <row r="43">
      <c r="A43" s="575" t="str">
        <f>'Product Features'!B65</f>
        <v>PF-FWD-2.1</v>
      </c>
      <c r="B43" s="576" t="str">
        <f>'Product Features'!C65</f>
        <v>Borrow adjacent lane: AV only</v>
      </c>
      <c r="C43" s="575" t="s">
        <v>1125</v>
      </c>
      <c r="D43" s="576" t="s">
        <v>1126</v>
      </c>
      <c r="E43" s="577" t="s">
        <v>281</v>
      </c>
      <c r="F43" s="577" t="s">
        <v>281</v>
      </c>
      <c r="G43" s="577" t="s">
        <v>281</v>
      </c>
      <c r="H43" s="577" t="s">
        <v>281</v>
      </c>
      <c r="I43" s="577" t="s">
        <v>281</v>
      </c>
      <c r="J43" s="577" t="s">
        <v>281</v>
      </c>
      <c r="K43" s="577" t="s">
        <v>281</v>
      </c>
      <c r="L43" s="577" t="s">
        <v>1095</v>
      </c>
      <c r="M43" s="577" t="s">
        <v>1095</v>
      </c>
      <c r="N43" s="577" t="s">
        <v>281</v>
      </c>
      <c r="O43" s="577" t="s">
        <v>281</v>
      </c>
      <c r="P43" s="577" t="s">
        <v>1095</v>
      </c>
      <c r="Q43" s="577" t="s">
        <v>281</v>
      </c>
      <c r="R43" s="577" t="s">
        <v>281</v>
      </c>
      <c r="S43" s="577" t="s">
        <v>281</v>
      </c>
      <c r="T43" s="577" t="s">
        <v>1097</v>
      </c>
      <c r="U43" s="577" t="s">
        <v>1097</v>
      </c>
      <c r="V43" s="577" t="s">
        <v>281</v>
      </c>
      <c r="W43" s="577" t="s">
        <v>1097</v>
      </c>
      <c r="X43" s="577" t="s">
        <v>281</v>
      </c>
      <c r="Y43" s="577" t="s">
        <v>281</v>
      </c>
    </row>
    <row r="44">
      <c r="A44" s="575" t="str">
        <f>'Product Features'!B67</f>
        <v>PF-FWD-3.1</v>
      </c>
      <c r="B44" s="576" t="str">
        <f>'Product Features'!C67</f>
        <v>Change lanes: AV, single lane</v>
      </c>
      <c r="C44" s="575" t="s">
        <v>1127</v>
      </c>
      <c r="D44" s="576" t="s">
        <v>1128</v>
      </c>
      <c r="E44" s="577" t="s">
        <v>281</v>
      </c>
      <c r="F44" s="577" t="s">
        <v>281</v>
      </c>
      <c r="G44" s="577" t="s">
        <v>281</v>
      </c>
      <c r="H44" s="577" t="s">
        <v>281</v>
      </c>
      <c r="I44" s="577" t="s">
        <v>281</v>
      </c>
      <c r="J44" s="577" t="s">
        <v>281</v>
      </c>
      <c r="K44" s="577" t="s">
        <v>281</v>
      </c>
      <c r="L44" s="577" t="s">
        <v>1095</v>
      </c>
      <c r="M44" s="577" t="s">
        <v>1095</v>
      </c>
      <c r="N44" s="577" t="s">
        <v>281</v>
      </c>
      <c r="O44" s="577" t="s">
        <v>281</v>
      </c>
      <c r="P44" s="577" t="s">
        <v>1095</v>
      </c>
      <c r="Q44" s="577" t="s">
        <v>1097</v>
      </c>
      <c r="R44" s="577" t="s">
        <v>281</v>
      </c>
      <c r="S44" s="577" t="s">
        <v>281</v>
      </c>
      <c r="T44" s="577" t="s">
        <v>1097</v>
      </c>
      <c r="U44" s="577" t="s">
        <v>1097</v>
      </c>
      <c r="V44" s="577" t="s">
        <v>1097</v>
      </c>
      <c r="W44" s="577" t="s">
        <v>1097</v>
      </c>
      <c r="X44" s="577" t="s">
        <v>1097</v>
      </c>
      <c r="Y44" s="577" t="s">
        <v>1097</v>
      </c>
    </row>
    <row r="45">
      <c r="A45" s="575" t="str">
        <f t="shared" ref="A45:B45" si="11">#REF!</f>
        <v>#REF!</v>
      </c>
      <c r="B45" s="576" t="str">
        <f t="shared" si="11"/>
        <v>#REF!</v>
      </c>
      <c r="C45" s="575" t="s">
        <v>1129</v>
      </c>
      <c r="D45" s="576" t="s">
        <v>1130</v>
      </c>
      <c r="E45" s="577" t="s">
        <v>281</v>
      </c>
      <c r="F45" s="577" t="s">
        <v>281</v>
      </c>
      <c r="G45" s="577" t="s">
        <v>281</v>
      </c>
      <c r="H45" s="577" t="s">
        <v>281</v>
      </c>
      <c r="I45" s="577" t="s">
        <v>281</v>
      </c>
      <c r="J45" s="577" t="s">
        <v>281</v>
      </c>
      <c r="K45" s="577" t="s">
        <v>281</v>
      </c>
      <c r="L45" s="577" t="s">
        <v>1095</v>
      </c>
      <c r="M45" s="577" t="s">
        <v>1095</v>
      </c>
      <c r="N45" s="577" t="s">
        <v>281</v>
      </c>
      <c r="O45" s="577" t="s">
        <v>281</v>
      </c>
      <c r="P45" s="577" t="s">
        <v>1095</v>
      </c>
      <c r="Q45" s="577" t="s">
        <v>1097</v>
      </c>
      <c r="R45" s="577" t="s">
        <v>281</v>
      </c>
      <c r="S45" s="577" t="s">
        <v>281</v>
      </c>
      <c r="T45" s="577" t="s">
        <v>1097</v>
      </c>
      <c r="U45" s="577" t="s">
        <v>1097</v>
      </c>
      <c r="V45" s="577" t="s">
        <v>1097</v>
      </c>
      <c r="W45" s="577" t="s">
        <v>1097</v>
      </c>
      <c r="X45" s="577" t="s">
        <v>1097</v>
      </c>
      <c r="Y45" s="577" t="s">
        <v>1097</v>
      </c>
    </row>
    <row r="46">
      <c r="A46" s="575" t="str">
        <f>'Product Features'!B73</f>
        <v/>
      </c>
      <c r="B46" s="576" t="str">
        <f>'Product Features'!C73</f>
        <v/>
      </c>
      <c r="D46" s="6"/>
      <c r="E46" s="6"/>
      <c r="F46" s="6"/>
      <c r="G46" s="6"/>
      <c r="H46" s="6"/>
      <c r="I46" s="6"/>
      <c r="J46" s="6"/>
      <c r="K46" s="6"/>
      <c r="L46" s="6"/>
      <c r="M46" s="6"/>
      <c r="N46" s="6"/>
      <c r="O46" s="6"/>
      <c r="P46" s="6"/>
      <c r="Q46" s="6"/>
      <c r="R46" s="6"/>
      <c r="S46" s="6"/>
      <c r="T46" s="6"/>
      <c r="U46" s="6"/>
      <c r="V46" s="6"/>
      <c r="W46" s="6"/>
      <c r="X46" s="6"/>
      <c r="Y46" s="6"/>
    </row>
    <row r="47">
      <c r="A47" s="575" t="str">
        <f t="shared" ref="A47:B47" si="12">#REF!</f>
        <v>#REF!</v>
      </c>
      <c r="B47" s="576" t="str">
        <f t="shared" si="12"/>
        <v>#REF!</v>
      </c>
      <c r="C47" s="575" t="s">
        <v>1131</v>
      </c>
      <c r="D47" s="576" t="s">
        <v>1021</v>
      </c>
      <c r="E47" s="6"/>
      <c r="F47" s="6"/>
      <c r="G47" s="6"/>
      <c r="H47" s="6"/>
      <c r="I47" s="6"/>
      <c r="J47" s="6"/>
      <c r="K47" s="6"/>
      <c r="L47" s="6"/>
      <c r="M47" s="6"/>
      <c r="N47" s="6"/>
      <c r="O47" s="6"/>
      <c r="P47" s="6"/>
      <c r="Q47" s="6"/>
      <c r="R47" s="6"/>
      <c r="S47" s="6"/>
      <c r="T47" s="6"/>
      <c r="U47" s="6"/>
      <c r="V47" s="6"/>
      <c r="W47" s="6"/>
      <c r="X47" s="6"/>
      <c r="Y47" s="6"/>
    </row>
    <row r="48">
      <c r="A48" s="575" t="str">
        <f t="shared" ref="A48:B48" si="13">#REF!</f>
        <v>#REF!</v>
      </c>
      <c r="B48" s="576" t="str">
        <f t="shared" si="13"/>
        <v>#REF!</v>
      </c>
      <c r="C48" s="575" t="s">
        <v>1132</v>
      </c>
      <c r="D48" s="576" t="s">
        <v>1133</v>
      </c>
      <c r="E48" s="577" t="s">
        <v>281</v>
      </c>
      <c r="F48" s="577" t="s">
        <v>281</v>
      </c>
      <c r="G48" s="577" t="s">
        <v>281</v>
      </c>
      <c r="H48" s="577" t="s">
        <v>281</v>
      </c>
      <c r="I48" s="577" t="s">
        <v>281</v>
      </c>
      <c r="J48" s="577" t="s">
        <v>1094</v>
      </c>
      <c r="K48" s="577" t="s">
        <v>1094</v>
      </c>
      <c r="L48" s="577" t="s">
        <v>1095</v>
      </c>
      <c r="M48" s="577" t="s">
        <v>1096</v>
      </c>
      <c r="N48" s="577" t="s">
        <v>281</v>
      </c>
      <c r="O48" s="577" t="s">
        <v>281</v>
      </c>
      <c r="P48" s="577" t="s">
        <v>1095</v>
      </c>
      <c r="Q48" s="579"/>
      <c r="R48" s="577" t="s">
        <v>281</v>
      </c>
      <c r="S48" s="577" t="s">
        <v>281</v>
      </c>
      <c r="T48" s="577" t="s">
        <v>1097</v>
      </c>
      <c r="U48" s="577" t="s">
        <v>1097</v>
      </c>
      <c r="V48" s="577" t="s">
        <v>281</v>
      </c>
      <c r="W48" s="577" t="s">
        <v>1097</v>
      </c>
      <c r="X48" s="577" t="s">
        <v>281</v>
      </c>
      <c r="Y48" s="577" t="s">
        <v>281</v>
      </c>
    </row>
    <row r="49">
      <c r="A49" s="575" t="str">
        <f>'Product Features'!B76</f>
        <v>PF-REV-2.1</v>
      </c>
      <c r="B49" s="576" t="str">
        <f>'Product Features'!C76</f>
        <v>Parking bay: reverse a semi-trailer into a named bay (small set)</v>
      </c>
      <c r="C49" s="575" t="s">
        <v>795</v>
      </c>
      <c r="D49" s="576" t="s">
        <v>1134</v>
      </c>
      <c r="E49" s="577" t="s">
        <v>281</v>
      </c>
      <c r="F49" s="577" t="s">
        <v>281</v>
      </c>
      <c r="G49" s="577" t="s">
        <v>281</v>
      </c>
      <c r="H49" s="577" t="s">
        <v>281</v>
      </c>
      <c r="I49" s="577" t="s">
        <v>281</v>
      </c>
      <c r="J49" s="577" t="s">
        <v>1094</v>
      </c>
      <c r="K49" s="577" t="s">
        <v>1094</v>
      </c>
      <c r="L49" s="577" t="s">
        <v>281</v>
      </c>
      <c r="M49" s="577" t="s">
        <v>281</v>
      </c>
      <c r="N49" s="577" t="s">
        <v>281</v>
      </c>
      <c r="O49" s="577" t="s">
        <v>281</v>
      </c>
      <c r="P49" s="577" t="s">
        <v>281</v>
      </c>
      <c r="Q49" s="582" t="s">
        <v>281</v>
      </c>
      <c r="R49" s="577" t="s">
        <v>281</v>
      </c>
      <c r="S49" s="577" t="s">
        <v>281</v>
      </c>
      <c r="T49" s="582" t="s">
        <v>281</v>
      </c>
      <c r="U49" s="577" t="s">
        <v>1097</v>
      </c>
      <c r="V49" s="582" t="s">
        <v>281</v>
      </c>
      <c r="W49" s="577" t="s">
        <v>1097</v>
      </c>
      <c r="X49" s="582" t="s">
        <v>281</v>
      </c>
      <c r="Y49" s="582" t="s">
        <v>281</v>
      </c>
    </row>
    <row r="50">
      <c r="A50" s="575" t="str">
        <f>'Product Features'!B77</f>
        <v>PF-REV-2.2</v>
      </c>
      <c r="B50" s="576" t="str">
        <f>'Product Features'!C77</f>
        <v>Parking bay: reverse a semi-trailer into a named bay (large set)</v>
      </c>
      <c r="C50" s="575" t="s">
        <v>1135</v>
      </c>
      <c r="D50" s="576" t="s">
        <v>1136</v>
      </c>
      <c r="E50" s="577" t="s">
        <v>281</v>
      </c>
      <c r="F50" s="577" t="s">
        <v>281</v>
      </c>
      <c r="G50" s="577" t="s">
        <v>281</v>
      </c>
      <c r="H50" s="577" t="s">
        <v>281</v>
      </c>
      <c r="I50" s="577" t="s">
        <v>281</v>
      </c>
      <c r="J50" s="577" t="s">
        <v>281</v>
      </c>
      <c r="K50" s="577" t="s">
        <v>281</v>
      </c>
      <c r="L50" s="577" t="s">
        <v>281</v>
      </c>
      <c r="M50" s="577" t="s">
        <v>281</v>
      </c>
      <c r="N50" s="577" t="s">
        <v>281</v>
      </c>
      <c r="O50" s="577" t="s">
        <v>281</v>
      </c>
      <c r="P50" s="577" t="s">
        <v>281</v>
      </c>
      <c r="Q50" s="582" t="s">
        <v>281</v>
      </c>
      <c r="R50" s="577" t="s">
        <v>281</v>
      </c>
      <c r="S50" s="577" t="s">
        <v>281</v>
      </c>
      <c r="T50" s="582" t="s">
        <v>281</v>
      </c>
      <c r="U50" s="577" t="s">
        <v>1097</v>
      </c>
      <c r="V50" s="582" t="s">
        <v>281</v>
      </c>
      <c r="W50" s="577" t="s">
        <v>1097</v>
      </c>
      <c r="X50" s="582" t="s">
        <v>281</v>
      </c>
      <c r="Y50" s="582" t="s">
        <v>281</v>
      </c>
    </row>
    <row r="51">
      <c r="A51" s="575" t="str">
        <f t="shared" ref="A51:B51" si="14">#REF!</f>
        <v>#REF!</v>
      </c>
      <c r="B51" s="576" t="str">
        <f t="shared" si="14"/>
        <v>#REF!</v>
      </c>
      <c r="C51" s="575" t="s">
        <v>1137</v>
      </c>
      <c r="D51" s="576" t="s">
        <v>1136</v>
      </c>
      <c r="E51" s="577" t="s">
        <v>281</v>
      </c>
      <c r="F51" s="577" t="s">
        <v>281</v>
      </c>
      <c r="G51" s="577" t="s">
        <v>281</v>
      </c>
      <c r="H51" s="577" t="s">
        <v>281</v>
      </c>
      <c r="I51" s="577" t="s">
        <v>281</v>
      </c>
      <c r="J51" s="577" t="s">
        <v>281</v>
      </c>
      <c r="K51" s="577" t="s">
        <v>281</v>
      </c>
      <c r="L51" s="577" t="s">
        <v>281</v>
      </c>
      <c r="M51" s="577" t="s">
        <v>281</v>
      </c>
      <c r="N51" s="577" t="s">
        <v>281</v>
      </c>
      <c r="O51" s="577" t="s">
        <v>281</v>
      </c>
      <c r="P51" s="577" t="s">
        <v>281</v>
      </c>
      <c r="Q51" s="582" t="s">
        <v>281</v>
      </c>
      <c r="R51" s="577" t="s">
        <v>281</v>
      </c>
      <c r="S51" s="577" t="s">
        <v>281</v>
      </c>
      <c r="T51" s="582" t="s">
        <v>281</v>
      </c>
      <c r="U51" s="577" t="s">
        <v>1097</v>
      </c>
      <c r="V51" s="582" t="s">
        <v>281</v>
      </c>
      <c r="W51" s="577" t="s">
        <v>1097</v>
      </c>
      <c r="X51" s="582" t="s">
        <v>281</v>
      </c>
      <c r="Y51" s="582" t="s">
        <v>281</v>
      </c>
    </row>
    <row r="52">
      <c r="A52" s="575" t="str">
        <f>'Product Features'!B78</f>
        <v/>
      </c>
      <c r="B52" s="576" t="str">
        <f>'Product Features'!C78</f>
        <v/>
      </c>
      <c r="D52" s="6"/>
      <c r="E52" s="6"/>
      <c r="F52" s="6"/>
      <c r="G52" s="6"/>
      <c r="H52" s="6"/>
      <c r="I52" s="6"/>
      <c r="J52" s="6"/>
      <c r="K52" s="6"/>
      <c r="L52" s="6"/>
      <c r="M52" s="6"/>
      <c r="N52" s="6"/>
      <c r="O52" s="6"/>
      <c r="P52" s="6"/>
      <c r="Q52" s="6"/>
      <c r="R52" s="6"/>
      <c r="S52" s="6"/>
      <c r="T52" s="6"/>
      <c r="U52" s="6"/>
      <c r="V52" s="6"/>
      <c r="W52" s="6"/>
      <c r="X52" s="6"/>
      <c r="Y52" s="6"/>
    </row>
    <row r="53">
      <c r="A53" s="575" t="str">
        <f>'Product Features'!B79</f>
        <v>PF-DCK-1.1</v>
      </c>
      <c r="B53" s="576" t="str">
        <f>'Product Features'!C79</f>
        <v>Initial approach of a named dock (small set)</v>
      </c>
      <c r="C53" s="575" t="s">
        <v>1138</v>
      </c>
      <c r="D53" s="576" t="s">
        <v>802</v>
      </c>
      <c r="E53" s="6"/>
      <c r="F53" s="6"/>
      <c r="G53" s="6"/>
      <c r="H53" s="6"/>
      <c r="I53" s="6"/>
      <c r="J53" s="6"/>
      <c r="K53" s="6"/>
      <c r="L53" s="6"/>
      <c r="M53" s="6"/>
      <c r="N53" s="6"/>
      <c r="O53" s="6"/>
      <c r="P53" s="6"/>
      <c r="Q53" s="6"/>
      <c r="R53" s="6"/>
      <c r="S53" s="6"/>
      <c r="T53" s="6"/>
      <c r="U53" s="6"/>
      <c r="V53" s="6"/>
      <c r="W53" s="6"/>
      <c r="X53" s="6"/>
      <c r="Y53" s="6"/>
    </row>
    <row r="54">
      <c r="A54" s="575" t="str">
        <f>'Product Features'!B80</f>
        <v>PF-DCK-1.2</v>
      </c>
      <c r="B54" s="576" t="str">
        <f>'Product Features'!C80</f>
        <v>Initial approach of a named dock (large set)</v>
      </c>
      <c r="C54" s="575" t="s">
        <v>803</v>
      </c>
      <c r="D54" s="576" t="s">
        <v>1139</v>
      </c>
      <c r="E54" s="577" t="s">
        <v>281</v>
      </c>
      <c r="F54" s="577" t="s">
        <v>281</v>
      </c>
      <c r="G54" s="577" t="s">
        <v>281</v>
      </c>
      <c r="H54" s="577" t="s">
        <v>281</v>
      </c>
      <c r="I54" s="577" t="s">
        <v>281</v>
      </c>
      <c r="J54" s="577" t="s">
        <v>281</v>
      </c>
      <c r="K54" s="577" t="s">
        <v>281</v>
      </c>
      <c r="L54" s="577" t="s">
        <v>1095</v>
      </c>
      <c r="M54" s="577" t="s">
        <v>1096</v>
      </c>
      <c r="N54" s="577" t="s">
        <v>281</v>
      </c>
      <c r="O54" s="577" t="s">
        <v>281</v>
      </c>
      <c r="P54" s="577" t="s">
        <v>1095</v>
      </c>
      <c r="Q54" s="577" t="s">
        <v>281</v>
      </c>
      <c r="R54" s="577" t="s">
        <v>281</v>
      </c>
      <c r="S54" s="577" t="s">
        <v>281</v>
      </c>
      <c r="T54" s="577" t="s">
        <v>1097</v>
      </c>
      <c r="U54" s="577" t="s">
        <v>1097</v>
      </c>
      <c r="V54" s="577" t="s">
        <v>281</v>
      </c>
      <c r="W54" s="577" t="s">
        <v>1097</v>
      </c>
      <c r="X54" s="577" t="s">
        <v>281</v>
      </c>
      <c r="Y54" s="577" t="s">
        <v>281</v>
      </c>
    </row>
    <row r="55">
      <c r="A55" s="575" t="str">
        <f t="shared" ref="A55:B55" si="15">#REF!</f>
        <v>#REF!</v>
      </c>
      <c r="B55" s="576" t="str">
        <f t="shared" si="15"/>
        <v>#REF!</v>
      </c>
      <c r="C55" s="575" t="s">
        <v>809</v>
      </c>
      <c r="D55" s="576" t="s">
        <v>1140</v>
      </c>
      <c r="E55" s="577" t="s">
        <v>281</v>
      </c>
      <c r="F55" s="577" t="s">
        <v>281</v>
      </c>
      <c r="G55" s="577" t="s">
        <v>281</v>
      </c>
      <c r="H55" s="577" t="s">
        <v>281</v>
      </c>
      <c r="I55" s="577" t="s">
        <v>281</v>
      </c>
      <c r="J55" s="577" t="s">
        <v>281</v>
      </c>
      <c r="K55" s="577" t="s">
        <v>281</v>
      </c>
      <c r="L55" s="577" t="s">
        <v>1095</v>
      </c>
      <c r="M55" s="577" t="s">
        <v>1096</v>
      </c>
      <c r="N55" s="577" t="s">
        <v>281</v>
      </c>
      <c r="O55" s="577" t="s">
        <v>281</v>
      </c>
      <c r="P55" s="577" t="s">
        <v>1095</v>
      </c>
      <c r="Q55" s="577" t="s">
        <v>281</v>
      </c>
      <c r="R55" s="577" t="s">
        <v>281</v>
      </c>
      <c r="S55" s="577" t="s">
        <v>281</v>
      </c>
      <c r="T55" s="577" t="s">
        <v>1097</v>
      </c>
      <c r="U55" s="577" t="s">
        <v>1097</v>
      </c>
      <c r="V55" s="577" t="s">
        <v>281</v>
      </c>
      <c r="W55" s="577" t="s">
        <v>1097</v>
      </c>
      <c r="X55" s="577" t="s">
        <v>281</v>
      </c>
      <c r="Y55" s="577" t="s">
        <v>281</v>
      </c>
    </row>
    <row r="56">
      <c r="A56" s="575" t="str">
        <f t="shared" ref="A56:B56" si="16">#REF!</f>
        <v>#REF!</v>
      </c>
      <c r="B56" s="576" t="str">
        <f t="shared" si="16"/>
        <v>#REF!</v>
      </c>
      <c r="C56" s="575" t="s">
        <v>1141</v>
      </c>
      <c r="D56" s="576" t="s">
        <v>1142</v>
      </c>
      <c r="E56" s="577" t="s">
        <v>281</v>
      </c>
      <c r="F56" s="577" t="s">
        <v>281</v>
      </c>
      <c r="G56" s="577" t="s">
        <v>281</v>
      </c>
      <c r="H56" s="577" t="s">
        <v>281</v>
      </c>
      <c r="I56" s="577" t="s">
        <v>281</v>
      </c>
      <c r="J56" s="577" t="s">
        <v>281</v>
      </c>
      <c r="K56" s="577" t="s">
        <v>281</v>
      </c>
      <c r="L56" s="577" t="s">
        <v>1095</v>
      </c>
      <c r="M56" s="577" t="s">
        <v>1096</v>
      </c>
      <c r="N56" s="577" t="s">
        <v>281</v>
      </c>
      <c r="O56" s="577" t="s">
        <v>281</v>
      </c>
      <c r="P56" s="577" t="s">
        <v>1095</v>
      </c>
      <c r="Q56" s="577" t="s">
        <v>281</v>
      </c>
      <c r="R56" s="577" t="s">
        <v>281</v>
      </c>
      <c r="S56" s="577" t="s">
        <v>281</v>
      </c>
      <c r="T56" s="577" t="s">
        <v>1097</v>
      </c>
      <c r="U56" s="577" t="s">
        <v>1097</v>
      </c>
      <c r="V56" s="577" t="s">
        <v>281</v>
      </c>
      <c r="W56" s="577" t="s">
        <v>1097</v>
      </c>
      <c r="X56" s="577" t="s">
        <v>281</v>
      </c>
      <c r="Y56" s="577" t="s">
        <v>281</v>
      </c>
    </row>
    <row r="57">
      <c r="A57" s="575" t="str">
        <f t="shared" ref="A57:B57" si="17">#REF!</f>
        <v>#REF!</v>
      </c>
      <c r="B57" s="576" t="str">
        <f t="shared" si="17"/>
        <v>#REF!</v>
      </c>
      <c r="C57" s="575" t="s">
        <v>1143</v>
      </c>
      <c r="D57" s="576" t="s">
        <v>1144</v>
      </c>
      <c r="E57" s="577" t="s">
        <v>281</v>
      </c>
      <c r="F57" s="577" t="s">
        <v>281</v>
      </c>
      <c r="G57" s="577" t="s">
        <v>281</v>
      </c>
      <c r="H57" s="577" t="s">
        <v>281</v>
      </c>
      <c r="I57" s="577" t="s">
        <v>281</v>
      </c>
      <c r="J57" s="579"/>
      <c r="K57" s="579"/>
      <c r="L57" s="577" t="s">
        <v>1095</v>
      </c>
      <c r="M57" s="577" t="s">
        <v>1096</v>
      </c>
      <c r="N57" s="577" t="s">
        <v>281</v>
      </c>
      <c r="O57" s="577" t="s">
        <v>281</v>
      </c>
      <c r="P57" s="577" t="s">
        <v>1095</v>
      </c>
      <c r="Q57" s="577" t="s">
        <v>281</v>
      </c>
      <c r="R57" s="577" t="s">
        <v>281</v>
      </c>
      <c r="S57" s="577" t="s">
        <v>281</v>
      </c>
      <c r="T57" s="577" t="s">
        <v>1097</v>
      </c>
      <c r="U57" s="577" t="s">
        <v>1097</v>
      </c>
      <c r="V57" s="577" t="s">
        <v>281</v>
      </c>
      <c r="W57" s="577" t="s">
        <v>1097</v>
      </c>
      <c r="X57" s="577" t="s">
        <v>281</v>
      </c>
      <c r="Y57" s="577" t="s">
        <v>281</v>
      </c>
    </row>
    <row r="58">
      <c r="A58" s="575" t="str">
        <f>'Product Features'!B83</f>
        <v/>
      </c>
      <c r="B58" s="576" t="str">
        <f>'Product Features'!C83</f>
        <v/>
      </c>
      <c r="C58" s="575"/>
      <c r="D58" s="576"/>
      <c r="E58" s="579"/>
      <c r="F58" s="579"/>
      <c r="G58" s="579"/>
      <c r="H58" s="579"/>
      <c r="I58" s="579"/>
      <c r="J58" s="579"/>
      <c r="K58" s="579"/>
      <c r="L58" s="579"/>
      <c r="M58" s="579"/>
      <c r="N58" s="579"/>
      <c r="O58" s="579"/>
      <c r="P58" s="579"/>
      <c r="Q58" s="579"/>
      <c r="R58" s="579"/>
      <c r="S58" s="579"/>
      <c r="T58" s="579"/>
      <c r="U58" s="579"/>
      <c r="V58" s="579"/>
      <c r="W58" s="579"/>
      <c r="X58" s="579"/>
      <c r="Y58" s="579"/>
    </row>
    <row r="59">
      <c r="A59" s="575" t="str">
        <f>'Product Features'!B84</f>
        <v>PF-CHE-1.1</v>
      </c>
      <c r="B59" s="576" t="str">
        <f>'Product Features'!C84</f>
        <v>Rendevous with a CHE at an a priori mapped location: baseline</v>
      </c>
      <c r="C59" s="575" t="s">
        <v>1145</v>
      </c>
      <c r="D59" s="576" t="s">
        <v>813</v>
      </c>
      <c r="E59" s="579"/>
      <c r="F59" s="579"/>
      <c r="G59" s="579"/>
      <c r="H59" s="579"/>
      <c r="I59" s="579"/>
      <c r="J59" s="579"/>
      <c r="K59" s="579"/>
      <c r="L59" s="579"/>
      <c r="M59" s="579"/>
      <c r="N59" s="579"/>
      <c r="O59" s="579"/>
      <c r="P59" s="579"/>
      <c r="Q59" s="579"/>
      <c r="R59" s="579"/>
      <c r="S59" s="579"/>
      <c r="T59" s="579"/>
      <c r="U59" s="579"/>
      <c r="V59" s="579"/>
      <c r="W59" s="579"/>
      <c r="X59" s="579"/>
      <c r="Y59" s="579"/>
    </row>
    <row r="60">
      <c r="A60" s="575" t="str">
        <f>'Product Features'!B85</f>
        <v>PF-CHE-1.2</v>
      </c>
      <c r="B60" s="576" t="str">
        <f>'Product Features'!C85</f>
        <v>Rendevous with a CHE at an a priori mapped location: Gantry or Crane</v>
      </c>
      <c r="C60" s="575" t="s">
        <v>814</v>
      </c>
      <c r="D60" s="576" t="s">
        <v>1146</v>
      </c>
      <c r="E60" s="577" t="s">
        <v>281</v>
      </c>
      <c r="F60" s="577" t="s">
        <v>281</v>
      </c>
      <c r="G60" s="577" t="s">
        <v>281</v>
      </c>
      <c r="H60" s="577" t="s">
        <v>281</v>
      </c>
      <c r="I60" s="577" t="s">
        <v>281</v>
      </c>
      <c r="J60" s="577" t="s">
        <v>281</v>
      </c>
      <c r="K60" s="577" t="s">
        <v>281</v>
      </c>
      <c r="L60" s="577" t="s">
        <v>1095</v>
      </c>
      <c r="M60" s="577" t="s">
        <v>281</v>
      </c>
      <c r="N60" s="577" t="s">
        <v>281</v>
      </c>
      <c r="O60" s="577" t="s">
        <v>281</v>
      </c>
      <c r="P60" s="577" t="s">
        <v>1095</v>
      </c>
      <c r="Q60" s="577" t="s">
        <v>281</v>
      </c>
      <c r="R60" s="577" t="s">
        <v>281</v>
      </c>
      <c r="S60" s="577" t="s">
        <v>281</v>
      </c>
      <c r="T60" s="577" t="s">
        <v>1097</v>
      </c>
      <c r="U60" s="579"/>
      <c r="V60" s="577" t="s">
        <v>281</v>
      </c>
      <c r="W60" s="577" t="s">
        <v>1097</v>
      </c>
      <c r="X60" s="577" t="s">
        <v>281</v>
      </c>
      <c r="Y60" s="577" t="s">
        <v>281</v>
      </c>
    </row>
    <row r="61">
      <c r="A61" s="575" t="str">
        <f>'Product Features'!B86</f>
        <v>PF-CHE-2.1</v>
      </c>
      <c r="B61" s="576" t="str">
        <f>'Product Features'!C86</f>
        <v>Rendevous with a CHE at an a relative to the CHE: STS crane</v>
      </c>
      <c r="C61" s="575" t="s">
        <v>821</v>
      </c>
      <c r="D61" s="576" t="s">
        <v>1147</v>
      </c>
      <c r="E61" s="577" t="s">
        <v>281</v>
      </c>
      <c r="F61" s="577" t="s">
        <v>281</v>
      </c>
      <c r="G61" s="577" t="s">
        <v>281</v>
      </c>
      <c r="H61" s="577" t="s">
        <v>281</v>
      </c>
      <c r="I61" s="577" t="s">
        <v>281</v>
      </c>
      <c r="J61" s="577" t="s">
        <v>281</v>
      </c>
      <c r="K61" s="577" t="s">
        <v>281</v>
      </c>
      <c r="L61" s="577" t="s">
        <v>1095</v>
      </c>
      <c r="M61" s="577" t="s">
        <v>281</v>
      </c>
      <c r="N61" s="577" t="s">
        <v>281</v>
      </c>
      <c r="O61" s="577" t="s">
        <v>281</v>
      </c>
      <c r="P61" s="577" t="s">
        <v>1095</v>
      </c>
      <c r="Q61" s="577" t="s">
        <v>281</v>
      </c>
      <c r="R61" s="577" t="s">
        <v>281</v>
      </c>
      <c r="S61" s="577" t="s">
        <v>281</v>
      </c>
      <c r="T61" s="577" t="s">
        <v>1097</v>
      </c>
      <c r="U61" s="579"/>
      <c r="V61" s="577" t="s">
        <v>281</v>
      </c>
      <c r="W61" s="577" t="s">
        <v>1097</v>
      </c>
      <c r="X61" s="577" t="s">
        <v>281</v>
      </c>
      <c r="Y61" s="577" t="s">
        <v>281</v>
      </c>
    </row>
    <row r="62">
      <c r="A62" s="575" t="str">
        <f>'Product Features'!B87</f>
        <v>PF-CHE-3.1</v>
      </c>
      <c r="B62" s="576" t="str">
        <f>'Product Features'!C87</f>
        <v>Rendevous task completion: baseline</v>
      </c>
      <c r="C62" s="575" t="s">
        <v>823</v>
      </c>
      <c r="D62" s="576" t="s">
        <v>1148</v>
      </c>
      <c r="E62" s="577" t="s">
        <v>281</v>
      </c>
      <c r="F62" s="577" t="s">
        <v>281</v>
      </c>
      <c r="G62" s="577" t="s">
        <v>281</v>
      </c>
      <c r="H62" s="577" t="s">
        <v>281</v>
      </c>
      <c r="I62" s="577" t="s">
        <v>281</v>
      </c>
      <c r="J62" s="577" t="s">
        <v>281</v>
      </c>
      <c r="K62" s="577" t="s">
        <v>281</v>
      </c>
      <c r="L62" s="577" t="s">
        <v>1095</v>
      </c>
      <c r="M62" s="577" t="s">
        <v>281</v>
      </c>
      <c r="N62" s="577" t="s">
        <v>281</v>
      </c>
      <c r="O62" s="577" t="s">
        <v>281</v>
      </c>
      <c r="P62" s="577" t="s">
        <v>1095</v>
      </c>
      <c r="Q62" s="577" t="s">
        <v>281</v>
      </c>
      <c r="R62" s="577" t="s">
        <v>281</v>
      </c>
      <c r="S62" s="577" t="s">
        <v>281</v>
      </c>
      <c r="T62" s="577" t="s">
        <v>1097</v>
      </c>
      <c r="U62" s="579"/>
      <c r="V62" s="577" t="s">
        <v>281</v>
      </c>
      <c r="W62" s="577" t="s">
        <v>1097</v>
      </c>
      <c r="X62" s="577" t="s">
        <v>281</v>
      </c>
      <c r="Y62" s="577" t="s">
        <v>281</v>
      </c>
    </row>
    <row r="63">
      <c r="A63" s="575" t="str">
        <f>'Product Features'!B88</f>
        <v>PF-CHE-3.2</v>
      </c>
      <c r="B63" s="576" t="str">
        <f>'Product Features'!C88</f>
        <v>Rendevous task completion: xMS confirmation</v>
      </c>
      <c r="C63" s="575" t="s">
        <v>827</v>
      </c>
      <c r="D63" s="576" t="s">
        <v>1149</v>
      </c>
      <c r="E63" s="577" t="s">
        <v>281</v>
      </c>
      <c r="F63" s="577" t="s">
        <v>281</v>
      </c>
      <c r="G63" s="577" t="s">
        <v>281</v>
      </c>
      <c r="H63" s="577" t="s">
        <v>281</v>
      </c>
      <c r="I63" s="577" t="s">
        <v>281</v>
      </c>
      <c r="J63" s="577" t="s">
        <v>281</v>
      </c>
      <c r="K63" s="577" t="s">
        <v>281</v>
      </c>
      <c r="L63" s="577" t="s">
        <v>1095</v>
      </c>
      <c r="M63" s="577" t="s">
        <v>281</v>
      </c>
      <c r="N63" s="577" t="s">
        <v>281</v>
      </c>
      <c r="O63" s="577" t="s">
        <v>281</v>
      </c>
      <c r="P63" s="577" t="s">
        <v>1095</v>
      </c>
      <c r="Q63" s="577" t="s">
        <v>281</v>
      </c>
      <c r="R63" s="577" t="s">
        <v>281</v>
      </c>
      <c r="S63" s="577" t="s">
        <v>281</v>
      </c>
      <c r="T63" s="577" t="s">
        <v>1097</v>
      </c>
      <c r="U63" s="579"/>
      <c r="V63" s="577" t="s">
        <v>281</v>
      </c>
      <c r="W63" s="577" t="s">
        <v>1097</v>
      </c>
      <c r="X63" s="577" t="s">
        <v>281</v>
      </c>
      <c r="Y63" s="577" t="s">
        <v>281</v>
      </c>
    </row>
    <row r="64">
      <c r="A64" s="575" t="str">
        <f>'Product Features'!B89</f>
        <v/>
      </c>
      <c r="B64" s="576" t="str">
        <f>'Product Features'!C89</f>
        <v/>
      </c>
      <c r="C64" s="575"/>
      <c r="D64" s="575"/>
      <c r="E64" s="579"/>
      <c r="F64" s="579"/>
      <c r="G64" s="579"/>
      <c r="H64" s="579"/>
      <c r="I64" s="579"/>
      <c r="J64" s="579"/>
      <c r="K64" s="579"/>
      <c r="L64" s="579"/>
      <c r="M64" s="579"/>
      <c r="N64" s="579"/>
      <c r="O64" s="579"/>
      <c r="P64" s="579"/>
      <c r="Q64" s="579"/>
      <c r="R64" s="579"/>
      <c r="S64" s="579"/>
      <c r="T64" s="579"/>
      <c r="U64" s="579"/>
      <c r="V64" s="579"/>
      <c r="W64" s="579"/>
      <c r="X64" s="579"/>
      <c r="Y64" s="579"/>
    </row>
    <row r="65">
      <c r="A65" s="575" t="str">
        <f>'Product Features'!B90</f>
        <v>PF-HCH-1.1</v>
      </c>
      <c r="B65" s="576" t="str">
        <f>'Product Features'!C90</f>
        <v>Hitch a semi-trailer: controllable 5th wheel</v>
      </c>
      <c r="C65" s="575" t="s">
        <v>1150</v>
      </c>
      <c r="D65" s="575" t="s">
        <v>829</v>
      </c>
      <c r="E65" s="577" t="s">
        <v>281</v>
      </c>
      <c r="F65" s="577" t="s">
        <v>281</v>
      </c>
      <c r="G65" s="577" t="s">
        <v>281</v>
      </c>
      <c r="H65" s="577" t="s">
        <v>281</v>
      </c>
      <c r="I65" s="577" t="s">
        <v>281</v>
      </c>
      <c r="J65" s="577" t="s">
        <v>281</v>
      </c>
      <c r="K65" s="577" t="s">
        <v>281</v>
      </c>
      <c r="L65" s="577" t="s">
        <v>281</v>
      </c>
      <c r="M65" s="577" t="s">
        <v>281</v>
      </c>
      <c r="N65" s="577" t="s">
        <v>281</v>
      </c>
      <c r="O65" s="577" t="s">
        <v>281</v>
      </c>
      <c r="P65" s="577" t="s">
        <v>281</v>
      </c>
      <c r="Q65" s="577" t="s">
        <v>281</v>
      </c>
      <c r="R65" s="577" t="s">
        <v>281</v>
      </c>
      <c r="S65" s="577" t="s">
        <v>281</v>
      </c>
      <c r="T65" s="577" t="s">
        <v>1097</v>
      </c>
      <c r="U65" s="577" t="s">
        <v>281</v>
      </c>
      <c r="V65" s="577" t="s">
        <v>281</v>
      </c>
      <c r="W65" s="577" t="s">
        <v>281</v>
      </c>
      <c r="X65" s="577" t="s">
        <v>281</v>
      </c>
      <c r="Y65" s="577" t="s">
        <v>281</v>
      </c>
    </row>
    <row r="66">
      <c r="A66" s="575" t="str">
        <f>'Product Features'!B91</f>
        <v>PF-HCH-2.1</v>
      </c>
      <c r="B66" s="576" t="str">
        <f>'Product Features'!C91</f>
        <v>Unhitch a semi-trailer: controllable 5th wheel</v>
      </c>
      <c r="C66" s="575" t="s">
        <v>830</v>
      </c>
      <c r="D66" s="575" t="s">
        <v>1151</v>
      </c>
      <c r="E66" s="577" t="s">
        <v>281</v>
      </c>
      <c r="F66" s="577" t="s">
        <v>281</v>
      </c>
      <c r="G66" s="577" t="s">
        <v>281</v>
      </c>
      <c r="H66" s="577" t="s">
        <v>281</v>
      </c>
      <c r="I66" s="577" t="s">
        <v>281</v>
      </c>
      <c r="J66" s="577" t="s">
        <v>281</v>
      </c>
      <c r="K66" s="577" t="s">
        <v>281</v>
      </c>
      <c r="L66" s="577" t="s">
        <v>281</v>
      </c>
      <c r="M66" s="577" t="s">
        <v>281</v>
      </c>
      <c r="N66" s="577" t="s">
        <v>281</v>
      </c>
      <c r="O66" s="577" t="s">
        <v>281</v>
      </c>
      <c r="P66" s="577" t="s">
        <v>281</v>
      </c>
      <c r="Q66" s="577" t="s">
        <v>281</v>
      </c>
      <c r="R66" s="577" t="s">
        <v>281</v>
      </c>
      <c r="S66" s="577" t="s">
        <v>281</v>
      </c>
      <c r="T66" s="577" t="s">
        <v>1097</v>
      </c>
      <c r="U66" s="577" t="s">
        <v>281</v>
      </c>
      <c r="V66" s="577" t="s">
        <v>281</v>
      </c>
      <c r="W66" s="577" t="s">
        <v>281</v>
      </c>
      <c r="X66" s="577" t="s">
        <v>281</v>
      </c>
      <c r="Y66" s="577" t="s">
        <v>281</v>
      </c>
    </row>
    <row r="67">
      <c r="A67" s="575" t="str">
        <f t="shared" ref="A67:B67" si="18">#REF!</f>
        <v>#REF!</v>
      </c>
      <c r="B67" s="576" t="str">
        <f t="shared" si="18"/>
        <v>#REF!</v>
      </c>
      <c r="C67" s="575" t="s">
        <v>833</v>
      </c>
      <c r="D67" s="575" t="s">
        <v>1152</v>
      </c>
      <c r="E67" s="577" t="s">
        <v>281</v>
      </c>
      <c r="F67" s="577" t="s">
        <v>281</v>
      </c>
      <c r="G67" s="577" t="s">
        <v>281</v>
      </c>
      <c r="H67" s="577" t="s">
        <v>281</v>
      </c>
      <c r="I67" s="577" t="s">
        <v>281</v>
      </c>
      <c r="J67" s="577" t="s">
        <v>281</v>
      </c>
      <c r="K67" s="577" t="s">
        <v>281</v>
      </c>
      <c r="L67" s="577" t="s">
        <v>281</v>
      </c>
      <c r="M67" s="577" t="s">
        <v>281</v>
      </c>
      <c r="N67" s="577" t="s">
        <v>281</v>
      </c>
      <c r="O67" s="577" t="s">
        <v>281</v>
      </c>
      <c r="P67" s="577" t="s">
        <v>281</v>
      </c>
      <c r="Q67" s="577" t="s">
        <v>281</v>
      </c>
      <c r="R67" s="577" t="s">
        <v>281</v>
      </c>
      <c r="S67" s="577" t="s">
        <v>281</v>
      </c>
      <c r="T67" s="577" t="s">
        <v>1097</v>
      </c>
      <c r="U67" s="577" t="s">
        <v>281</v>
      </c>
      <c r="V67" s="577" t="s">
        <v>281</v>
      </c>
      <c r="W67" s="577" t="s">
        <v>281</v>
      </c>
      <c r="X67" s="577" t="s">
        <v>281</v>
      </c>
      <c r="Y67" s="577" t="s">
        <v>281</v>
      </c>
    </row>
    <row r="68">
      <c r="A68" s="575" t="str">
        <f>'Product Features'!B98</f>
        <v>PF-XMS-1.1</v>
      </c>
      <c r="B68" s="576" t="str">
        <f>'Product Features'!C98</f>
        <v>API: Support XYZ MS at Jebel Ali</v>
      </c>
      <c r="C68" s="575" t="str">
        <f>'Product Features'!B92</f>
        <v/>
      </c>
      <c r="D68" s="575" t="str">
        <f>'Product Features'!C92</f>
        <v/>
      </c>
    </row>
    <row r="69">
      <c r="A69" s="575" t="str">
        <f t="shared" ref="A69:B69" si="19">#REF!</f>
        <v>#REF!</v>
      </c>
      <c r="B69" s="576" t="str">
        <f t="shared" si="19"/>
        <v>#REF!</v>
      </c>
      <c r="C69" s="575" t="str">
        <f>'Product Features'!B97</f>
        <v/>
      </c>
      <c r="D69" s="575" t="str">
        <f>'Product Features'!C97</f>
        <v/>
      </c>
    </row>
    <row r="70">
      <c r="A70" s="575" t="str">
        <f>'Product Features'!B105</f>
        <v/>
      </c>
      <c r="B70" s="576" t="str">
        <f>'Product Features'!C105</f>
        <v/>
      </c>
      <c r="C70" s="583" t="str">
        <f t="shared" ref="C70:D70" si="20">#REF!</f>
        <v>#REF!</v>
      </c>
      <c r="D70" s="583" t="str">
        <f t="shared" si="20"/>
        <v>#REF!</v>
      </c>
    </row>
    <row r="71">
      <c r="A71" s="575" t="str">
        <f>'Product Features'!B106</f>
        <v>PF-OPS-1.1</v>
      </c>
      <c r="B71" s="576" t="str">
        <f>'Product Features'!C106</f>
        <v>AV System duty cycle management (baseline)</v>
      </c>
      <c r="C71" s="583" t="str">
        <f t="shared" ref="C71:D71" si="21">#REF!</f>
        <v>#REF!</v>
      </c>
      <c r="D71" s="583" t="str">
        <f t="shared" si="21"/>
        <v>#REF!</v>
      </c>
    </row>
    <row r="72">
      <c r="A72" s="575" t="str">
        <f t="shared" ref="A72:D72" si="22">#REF!</f>
        <v>#REF!</v>
      </c>
      <c r="B72" s="576" t="str">
        <f t="shared" si="22"/>
        <v>#REF!</v>
      </c>
      <c r="C72" s="583" t="str">
        <f t="shared" si="22"/>
        <v>#REF!</v>
      </c>
      <c r="D72" s="583" t="str">
        <f t="shared" si="22"/>
        <v>#REF!</v>
      </c>
    </row>
    <row r="73">
      <c r="A73" s="575" t="str">
        <f t="shared" ref="A73:B73" si="23">#REF!</f>
        <v>#REF!</v>
      </c>
      <c r="B73" s="576" t="str">
        <f t="shared" si="23"/>
        <v>#REF!</v>
      </c>
      <c r="C73" s="575" t="str">
        <f>'Product Features'!B93</f>
        <v>PF-CE-1.1</v>
      </c>
      <c r="D73" s="575" t="str">
        <f>'Product Features'!C93</f>
        <v>CE: Driver in, supervised operations</v>
      </c>
    </row>
    <row r="74">
      <c r="A74" s="575" t="str">
        <f t="shared" ref="A74:D74" si="24">#REF!</f>
        <v>#REF!</v>
      </c>
      <c r="B74" s="576" t="str">
        <f t="shared" si="24"/>
        <v>#REF!</v>
      </c>
      <c r="C74" s="583" t="str">
        <f t="shared" si="24"/>
        <v>#REF!</v>
      </c>
      <c r="D74" s="583" t="str">
        <f t="shared" si="24"/>
        <v>#REF!</v>
      </c>
    </row>
    <row r="75">
      <c r="A75" s="575" t="str">
        <f t="shared" ref="A75:D75" si="25">#REF!</f>
        <v>#REF!</v>
      </c>
      <c r="B75" s="576" t="str">
        <f t="shared" si="25"/>
        <v>#REF!</v>
      </c>
      <c r="C75" s="583" t="str">
        <f t="shared" si="25"/>
        <v>#REF!</v>
      </c>
      <c r="D75" s="583" t="str">
        <f t="shared" si="25"/>
        <v>#REF!</v>
      </c>
    </row>
    <row r="76">
      <c r="A76" s="575" t="str">
        <f t="shared" ref="A76:D76" si="26">#REF!</f>
        <v>#REF!</v>
      </c>
      <c r="B76" s="576" t="str">
        <f t="shared" si="26"/>
        <v>#REF!</v>
      </c>
      <c r="C76" s="583" t="str">
        <f t="shared" si="26"/>
        <v>#REF!</v>
      </c>
      <c r="D76" s="583" t="str">
        <f t="shared" si="26"/>
        <v>#REF!</v>
      </c>
    </row>
    <row r="77">
      <c r="A77" s="575" t="str">
        <f t="shared" ref="A77:B77" si="27">#REF!</f>
        <v>#REF!</v>
      </c>
      <c r="B77" s="576" t="str">
        <f t="shared" si="27"/>
        <v>#REF!</v>
      </c>
      <c r="C77" s="575" t="str">
        <f>'Product Features'!B98</f>
        <v>PF-XMS-1.1</v>
      </c>
      <c r="D77" s="575" t="str">
        <f>'Product Features'!C98</f>
        <v>API: Support XYZ MS at Jebel Ali</v>
      </c>
    </row>
    <row r="78">
      <c r="A78" s="575" t="str">
        <f t="shared" ref="A78:D78" si="28">#REF!</f>
        <v>#REF!</v>
      </c>
      <c r="B78" s="576" t="str">
        <f t="shared" si="28"/>
        <v>#REF!</v>
      </c>
      <c r="C78" s="583" t="str">
        <f t="shared" si="28"/>
        <v>#REF!</v>
      </c>
      <c r="D78" s="583" t="str">
        <f t="shared" si="28"/>
        <v>#REF!</v>
      </c>
    </row>
    <row r="79">
      <c r="A79" s="575" t="str">
        <f t="shared" ref="A79:B79" si="29">#REF!</f>
        <v>#REF!</v>
      </c>
      <c r="B79" s="576" t="str">
        <f t="shared" si="29"/>
        <v>#REF!</v>
      </c>
      <c r="C79" s="575" t="str">
        <f>'Product Features'!B105</f>
        <v/>
      </c>
      <c r="D79" s="575" t="str">
        <f>'Product Features'!C105</f>
        <v/>
      </c>
    </row>
    <row r="80">
      <c r="A80" s="575" t="str">
        <f t="shared" ref="A80:B80" si="30">#REF!</f>
        <v>#REF!</v>
      </c>
      <c r="B80" s="576" t="str">
        <f t="shared" si="30"/>
        <v>#REF!</v>
      </c>
      <c r="C80" s="575" t="str">
        <f>'Product Features'!B106</f>
        <v>PF-OPS-1.1</v>
      </c>
      <c r="D80" s="575" t="str">
        <f>'Product Features'!C106</f>
        <v>AV System duty cycle management (baseline)</v>
      </c>
    </row>
    <row r="81">
      <c r="A81" s="575" t="str">
        <f t="shared" ref="A81:B81" si="31">#REF!</f>
        <v>#REF!</v>
      </c>
      <c r="B81" s="576" t="str">
        <f t="shared" si="31"/>
        <v>#REF!</v>
      </c>
    </row>
    <row r="82">
      <c r="A82" s="575" t="str">
        <f t="shared" ref="A82:B82" si="32">#REF!</f>
        <v>#REF!</v>
      </c>
      <c r="B82" s="576" t="str">
        <f t="shared" si="32"/>
        <v>#REF!</v>
      </c>
    </row>
    <row r="83">
      <c r="A83" s="575" t="str">
        <f t="shared" ref="A83:B83" si="33">#REF!</f>
        <v>#REF!</v>
      </c>
      <c r="B83" s="576" t="str">
        <f t="shared" si="33"/>
        <v>#REF!</v>
      </c>
    </row>
    <row r="84">
      <c r="A84" s="575" t="str">
        <f t="shared" ref="A84:B84" si="34">#REF!</f>
        <v>#REF!</v>
      </c>
      <c r="B84" s="576" t="str">
        <f t="shared" si="34"/>
        <v>#REF!</v>
      </c>
    </row>
    <row r="85">
      <c r="A85" s="575" t="str">
        <f t="shared" ref="A85:B85" si="35">#REF!</f>
        <v>#REF!</v>
      </c>
      <c r="B85" s="576" t="str">
        <f t="shared" si="35"/>
        <v>#REF!</v>
      </c>
    </row>
    <row r="86">
      <c r="A86" s="575" t="str">
        <f t="shared" ref="A86:B86" si="36">#REF!</f>
        <v>#REF!</v>
      </c>
      <c r="B86" s="576" t="str">
        <f t="shared" si="36"/>
        <v>#REF!</v>
      </c>
    </row>
    <row r="87">
      <c r="A87" s="575" t="str">
        <f t="shared" ref="A87:B87" si="37">#REF!</f>
        <v>#REF!</v>
      </c>
      <c r="B87" s="576" t="str">
        <f t="shared" si="37"/>
        <v>#REF!</v>
      </c>
    </row>
    <row r="88">
      <c r="A88" s="575" t="str">
        <f t="shared" ref="A88:B88" si="38">#REF!</f>
        <v>#REF!</v>
      </c>
      <c r="B88" s="576" t="str">
        <f t="shared" si="38"/>
        <v>#REF!</v>
      </c>
    </row>
    <row r="89">
      <c r="A89" s="575" t="str">
        <f t="shared" ref="A89:B89" si="39">#REF!</f>
        <v>#REF!</v>
      </c>
      <c r="B89" s="576" t="str">
        <f t="shared" si="39"/>
        <v>#REF!</v>
      </c>
    </row>
    <row r="90">
      <c r="A90" s="575" t="str">
        <f t="shared" ref="A90:B90" si="40">#REF!</f>
        <v>#REF!</v>
      </c>
      <c r="B90" s="576" t="str">
        <f t="shared" si="40"/>
        <v>#REF!</v>
      </c>
    </row>
    <row r="91">
      <c r="B91" s="6"/>
    </row>
    <row r="92">
      <c r="B92" s="6"/>
    </row>
    <row r="93">
      <c r="B93" s="6"/>
    </row>
    <row r="94">
      <c r="B94" s="6"/>
    </row>
    <row r="95">
      <c r="B95" s="6"/>
    </row>
    <row r="96">
      <c r="B96" s="6"/>
    </row>
    <row r="97">
      <c r="B97" s="6"/>
    </row>
    <row r="98">
      <c r="B98" s="6"/>
    </row>
    <row r="99">
      <c r="B99" s="6"/>
    </row>
    <row r="100">
      <c r="B100" s="6"/>
    </row>
    <row r="101">
      <c r="B101" s="6"/>
    </row>
    <row r="102">
      <c r="B102" s="6"/>
    </row>
    <row r="103">
      <c r="B103" s="6"/>
    </row>
    <row r="104">
      <c r="B104" s="6"/>
    </row>
    <row r="105">
      <c r="B105" s="6"/>
    </row>
    <row r="106">
      <c r="B106" s="6"/>
    </row>
    <row r="107">
      <c r="B107" s="6"/>
    </row>
    <row r="108">
      <c r="B108" s="6"/>
    </row>
    <row r="109">
      <c r="B109" s="6"/>
    </row>
    <row r="110">
      <c r="B110" s="6"/>
    </row>
    <row r="111">
      <c r="B111" s="6"/>
    </row>
    <row r="112">
      <c r="B112" s="6"/>
    </row>
    <row r="113">
      <c r="B113" s="6"/>
    </row>
    <row r="114">
      <c r="B114" s="6"/>
    </row>
    <row r="115">
      <c r="B115" s="6"/>
    </row>
    <row r="116">
      <c r="B116" s="6"/>
    </row>
    <row r="117">
      <c r="B117" s="6"/>
    </row>
    <row r="118">
      <c r="B118" s="6"/>
    </row>
    <row r="119">
      <c r="B119" s="6"/>
    </row>
    <row r="120">
      <c r="B120" s="6"/>
    </row>
    <row r="121">
      <c r="B121" s="6"/>
    </row>
    <row r="122">
      <c r="B122" s="6"/>
    </row>
    <row r="123">
      <c r="B123" s="6"/>
    </row>
    <row r="124">
      <c r="B124" s="6"/>
    </row>
    <row r="125">
      <c r="B125" s="6"/>
    </row>
    <row r="126">
      <c r="B126" s="6"/>
    </row>
    <row r="127">
      <c r="B127" s="6"/>
    </row>
    <row r="128">
      <c r="B128" s="6"/>
    </row>
    <row r="129">
      <c r="B129" s="6"/>
    </row>
    <row r="130">
      <c r="B130" s="6"/>
    </row>
    <row r="131">
      <c r="B131" s="6"/>
    </row>
    <row r="132">
      <c r="B132" s="6"/>
    </row>
    <row r="133">
      <c r="B133" s="6"/>
    </row>
    <row r="134">
      <c r="B134" s="6"/>
    </row>
    <row r="135">
      <c r="B135" s="6"/>
    </row>
    <row r="136">
      <c r="B136" s="6"/>
    </row>
    <row r="137">
      <c r="B137" s="6"/>
    </row>
    <row r="138">
      <c r="B138" s="6"/>
    </row>
    <row r="139">
      <c r="B139" s="6"/>
    </row>
    <row r="140">
      <c r="B140" s="6"/>
    </row>
    <row r="141">
      <c r="B141" s="6"/>
    </row>
    <row r="142">
      <c r="B142" s="6"/>
    </row>
    <row r="143">
      <c r="B143" s="6"/>
    </row>
    <row r="144">
      <c r="B144" s="6"/>
    </row>
    <row r="145">
      <c r="B145" s="6"/>
    </row>
    <row r="146">
      <c r="B146" s="6"/>
    </row>
    <row r="147">
      <c r="B147" s="6"/>
    </row>
    <row r="148">
      <c r="B148" s="6"/>
    </row>
    <row r="149">
      <c r="B149" s="6"/>
    </row>
    <row r="150">
      <c r="B150" s="6"/>
    </row>
    <row r="151">
      <c r="B151" s="6"/>
    </row>
    <row r="152">
      <c r="B152" s="6"/>
    </row>
    <row r="153">
      <c r="B153" s="6"/>
    </row>
    <row r="154">
      <c r="B154" s="6"/>
    </row>
    <row r="155">
      <c r="B155" s="6"/>
    </row>
    <row r="156">
      <c r="B156" s="6"/>
    </row>
    <row r="157">
      <c r="B157" s="6"/>
    </row>
    <row r="158">
      <c r="B158" s="6"/>
    </row>
    <row r="159">
      <c r="B159" s="6"/>
    </row>
    <row r="160">
      <c r="B160" s="6"/>
    </row>
    <row r="161">
      <c r="B161" s="6"/>
    </row>
    <row r="162">
      <c r="B162" s="6"/>
    </row>
    <row r="163">
      <c r="B163" s="6"/>
    </row>
    <row r="164">
      <c r="B164" s="6"/>
    </row>
    <row r="165">
      <c r="B165" s="6"/>
    </row>
    <row r="166">
      <c r="B166" s="6"/>
    </row>
    <row r="167">
      <c r="B167" s="6"/>
    </row>
    <row r="168">
      <c r="B168" s="6"/>
    </row>
    <row r="169">
      <c r="B169" s="6"/>
    </row>
    <row r="170">
      <c r="B170" s="6"/>
    </row>
    <row r="171">
      <c r="B171" s="6"/>
    </row>
    <row r="172">
      <c r="B172" s="6"/>
    </row>
    <row r="173">
      <c r="B173" s="6"/>
    </row>
    <row r="174">
      <c r="B174" s="6"/>
    </row>
    <row r="175">
      <c r="B175" s="6"/>
    </row>
    <row r="176">
      <c r="B176" s="6"/>
    </row>
    <row r="177">
      <c r="B177" s="6"/>
    </row>
    <row r="178">
      <c r="B178" s="6"/>
    </row>
    <row r="179">
      <c r="B179" s="6"/>
    </row>
    <row r="180">
      <c r="B180" s="6"/>
    </row>
    <row r="181">
      <c r="B181" s="6"/>
    </row>
    <row r="182">
      <c r="B182" s="6"/>
    </row>
    <row r="183">
      <c r="B183" s="6"/>
    </row>
    <row r="184">
      <c r="B184" s="6"/>
    </row>
    <row r="185">
      <c r="B185" s="6"/>
    </row>
    <row r="186">
      <c r="B186" s="6"/>
    </row>
    <row r="187">
      <c r="B187" s="6"/>
    </row>
    <row r="188">
      <c r="B188" s="6"/>
    </row>
    <row r="189">
      <c r="B189" s="6"/>
    </row>
    <row r="190">
      <c r="B190" s="6"/>
    </row>
    <row r="191">
      <c r="B191" s="6"/>
    </row>
    <row r="192">
      <c r="B192" s="6"/>
    </row>
    <row r="193">
      <c r="B193" s="6"/>
    </row>
    <row r="194">
      <c r="B194" s="6"/>
    </row>
    <row r="195">
      <c r="B195" s="6"/>
    </row>
    <row r="196">
      <c r="B196" s="6"/>
    </row>
    <row r="197">
      <c r="B197" s="6"/>
    </row>
    <row r="198">
      <c r="B198" s="6"/>
    </row>
    <row r="199">
      <c r="B199" s="6"/>
    </row>
    <row r="200">
      <c r="B200" s="6"/>
    </row>
    <row r="201">
      <c r="B201" s="6"/>
    </row>
    <row r="202">
      <c r="B202" s="6"/>
    </row>
    <row r="203">
      <c r="B203" s="6"/>
    </row>
    <row r="204">
      <c r="B204" s="6"/>
    </row>
    <row r="205">
      <c r="B205" s="6"/>
    </row>
    <row r="206">
      <c r="B206" s="6"/>
    </row>
    <row r="207">
      <c r="B207" s="6"/>
    </row>
    <row r="208">
      <c r="B208" s="6"/>
    </row>
    <row r="209">
      <c r="B209" s="6"/>
    </row>
    <row r="210">
      <c r="B210" s="6"/>
    </row>
    <row r="211">
      <c r="B211" s="6"/>
    </row>
    <row r="212">
      <c r="B212" s="6"/>
    </row>
    <row r="213">
      <c r="B213" s="6"/>
    </row>
    <row r="214">
      <c r="B214" s="6"/>
    </row>
    <row r="215">
      <c r="B215" s="6"/>
    </row>
    <row r="216">
      <c r="B216" s="6"/>
    </row>
    <row r="217">
      <c r="B217" s="6"/>
    </row>
    <row r="218">
      <c r="B218" s="6"/>
    </row>
    <row r="219">
      <c r="B219" s="6"/>
    </row>
    <row r="220">
      <c r="B220" s="6"/>
    </row>
    <row r="221">
      <c r="B221" s="6"/>
    </row>
    <row r="222">
      <c r="B222" s="6"/>
    </row>
    <row r="223">
      <c r="B223" s="6"/>
    </row>
    <row r="224">
      <c r="B224" s="6"/>
    </row>
    <row r="225">
      <c r="B225" s="6"/>
    </row>
    <row r="226">
      <c r="B226" s="6"/>
    </row>
    <row r="227">
      <c r="B227" s="6"/>
    </row>
    <row r="228">
      <c r="B228" s="6"/>
    </row>
    <row r="229">
      <c r="B229" s="6"/>
    </row>
    <row r="230">
      <c r="B230" s="6"/>
    </row>
    <row r="231">
      <c r="B231" s="6"/>
    </row>
    <row r="232">
      <c r="B232" s="6"/>
    </row>
    <row r="233">
      <c r="B233" s="6"/>
    </row>
    <row r="234">
      <c r="B234" s="6"/>
    </row>
    <row r="235">
      <c r="B235" s="6"/>
    </row>
    <row r="236">
      <c r="B236" s="6"/>
    </row>
    <row r="237">
      <c r="B237" s="6"/>
    </row>
    <row r="238">
      <c r="B238" s="6"/>
    </row>
    <row r="239">
      <c r="B239" s="6"/>
    </row>
    <row r="240">
      <c r="B240" s="6"/>
    </row>
    <row r="241">
      <c r="B241" s="6"/>
    </row>
    <row r="242">
      <c r="B242" s="6"/>
    </row>
    <row r="243">
      <c r="B243" s="6"/>
    </row>
    <row r="244">
      <c r="B244" s="6"/>
    </row>
    <row r="245">
      <c r="B245" s="6"/>
    </row>
    <row r="246">
      <c r="B246" s="6"/>
    </row>
    <row r="247">
      <c r="B247" s="6"/>
    </row>
    <row r="248">
      <c r="B248" s="6"/>
    </row>
    <row r="249">
      <c r="B249" s="6"/>
    </row>
    <row r="250">
      <c r="B250" s="6"/>
    </row>
    <row r="251">
      <c r="B251" s="6"/>
    </row>
    <row r="252">
      <c r="B252" s="6"/>
    </row>
    <row r="253">
      <c r="B253" s="6"/>
    </row>
    <row r="254">
      <c r="B254" s="6"/>
    </row>
    <row r="255">
      <c r="B255" s="6"/>
    </row>
    <row r="256">
      <c r="B256" s="6"/>
    </row>
    <row r="257">
      <c r="B257" s="6"/>
    </row>
    <row r="258">
      <c r="B258" s="6"/>
    </row>
    <row r="259">
      <c r="B259" s="6"/>
    </row>
    <row r="260">
      <c r="B260" s="6"/>
    </row>
    <row r="261">
      <c r="B261" s="6"/>
    </row>
    <row r="262">
      <c r="B262" s="6"/>
    </row>
    <row r="263">
      <c r="B263" s="6"/>
    </row>
    <row r="264">
      <c r="B264" s="6"/>
    </row>
    <row r="265">
      <c r="B265" s="6"/>
    </row>
    <row r="266">
      <c r="B266" s="6"/>
    </row>
    <row r="267">
      <c r="B267" s="6"/>
    </row>
    <row r="268">
      <c r="B268" s="6"/>
    </row>
    <row r="269">
      <c r="B269" s="6"/>
    </row>
    <row r="270">
      <c r="B270" s="6"/>
    </row>
    <row r="271">
      <c r="B271" s="6"/>
    </row>
    <row r="272">
      <c r="B272" s="6"/>
    </row>
    <row r="273">
      <c r="B273" s="6"/>
    </row>
    <row r="274">
      <c r="B274" s="6"/>
    </row>
    <row r="275">
      <c r="B275" s="6"/>
    </row>
    <row r="276">
      <c r="B276" s="6"/>
    </row>
    <row r="277">
      <c r="B277" s="6"/>
    </row>
    <row r="278">
      <c r="B278" s="6"/>
    </row>
    <row r="279">
      <c r="B279" s="6"/>
    </row>
    <row r="280">
      <c r="B280" s="6"/>
    </row>
    <row r="281">
      <c r="B281" s="6"/>
    </row>
    <row r="282">
      <c r="B282" s="6"/>
    </row>
    <row r="283">
      <c r="B283" s="6"/>
    </row>
    <row r="284">
      <c r="B284" s="6"/>
    </row>
    <row r="285">
      <c r="B285" s="6"/>
    </row>
    <row r="286">
      <c r="B286" s="6"/>
    </row>
    <row r="287">
      <c r="B287" s="6"/>
    </row>
    <row r="288">
      <c r="B288" s="6"/>
    </row>
    <row r="289">
      <c r="B289" s="6"/>
    </row>
    <row r="290">
      <c r="B290" s="6"/>
    </row>
    <row r="291">
      <c r="B291" s="6"/>
    </row>
    <row r="292">
      <c r="B292" s="6"/>
    </row>
    <row r="293">
      <c r="B293" s="6"/>
    </row>
    <row r="294">
      <c r="B294" s="6"/>
    </row>
    <row r="295">
      <c r="B295" s="6"/>
    </row>
    <row r="296">
      <c r="B296" s="6"/>
    </row>
    <row r="297">
      <c r="B297" s="6"/>
    </row>
    <row r="298">
      <c r="B298" s="6"/>
    </row>
    <row r="299">
      <c r="B299" s="6"/>
    </row>
    <row r="300">
      <c r="B300" s="6"/>
    </row>
    <row r="301">
      <c r="B301" s="6"/>
    </row>
    <row r="302">
      <c r="B302" s="6"/>
    </row>
    <row r="303">
      <c r="B303" s="6"/>
    </row>
    <row r="304">
      <c r="B304" s="6"/>
    </row>
    <row r="305">
      <c r="B305" s="6"/>
    </row>
    <row r="306">
      <c r="B306" s="6"/>
    </row>
    <row r="307">
      <c r="B307" s="6"/>
    </row>
    <row r="308">
      <c r="B308" s="6"/>
    </row>
    <row r="309">
      <c r="B309" s="6"/>
    </row>
    <row r="310">
      <c r="B310" s="6"/>
    </row>
    <row r="311">
      <c r="B311" s="6"/>
    </row>
    <row r="312">
      <c r="B312" s="6"/>
    </row>
    <row r="313">
      <c r="B313" s="6"/>
    </row>
    <row r="314">
      <c r="B314" s="6"/>
    </row>
    <row r="315">
      <c r="B315" s="6"/>
    </row>
    <row r="316">
      <c r="B316" s="6"/>
    </row>
    <row r="317">
      <c r="B317" s="6"/>
    </row>
    <row r="318">
      <c r="B318" s="6"/>
    </row>
    <row r="319">
      <c r="B319" s="6"/>
    </row>
    <row r="320">
      <c r="B320" s="6"/>
    </row>
    <row r="321">
      <c r="B321" s="6"/>
    </row>
    <row r="322">
      <c r="B322" s="6"/>
    </row>
    <row r="323">
      <c r="B323" s="6"/>
    </row>
    <row r="324">
      <c r="B324" s="6"/>
    </row>
    <row r="325">
      <c r="B325" s="6"/>
    </row>
    <row r="326">
      <c r="B326" s="6"/>
    </row>
    <row r="327">
      <c r="B327" s="6"/>
    </row>
    <row r="328">
      <c r="B328" s="6"/>
    </row>
    <row r="329">
      <c r="B329" s="6"/>
    </row>
    <row r="330">
      <c r="B330" s="6"/>
    </row>
    <row r="331">
      <c r="B331" s="6"/>
    </row>
    <row r="332">
      <c r="B332" s="6"/>
    </row>
    <row r="333">
      <c r="B333" s="6"/>
    </row>
    <row r="334">
      <c r="B334" s="6"/>
    </row>
    <row r="335">
      <c r="B335" s="6"/>
    </row>
    <row r="336">
      <c r="B336" s="6"/>
    </row>
    <row r="337">
      <c r="B337" s="6"/>
    </row>
    <row r="338">
      <c r="B338" s="6"/>
    </row>
    <row r="339">
      <c r="B339" s="6"/>
    </row>
    <row r="340">
      <c r="B340" s="6"/>
    </row>
    <row r="341">
      <c r="B341" s="6"/>
    </row>
    <row r="342">
      <c r="B342" s="6"/>
    </row>
    <row r="343">
      <c r="B343" s="6"/>
    </row>
    <row r="344">
      <c r="B344" s="6"/>
    </row>
    <row r="345">
      <c r="B345" s="6"/>
    </row>
    <row r="346">
      <c r="B346" s="6"/>
    </row>
    <row r="347">
      <c r="B347" s="6"/>
    </row>
    <row r="348">
      <c r="B348" s="6"/>
    </row>
    <row r="349">
      <c r="B349" s="6"/>
    </row>
    <row r="350">
      <c r="B350" s="6"/>
    </row>
    <row r="351">
      <c r="B351" s="6"/>
    </row>
    <row r="352">
      <c r="B352" s="6"/>
    </row>
    <row r="353">
      <c r="B353" s="6"/>
    </row>
    <row r="354">
      <c r="B354" s="6"/>
    </row>
    <row r="355">
      <c r="B355" s="6"/>
    </row>
    <row r="356">
      <c r="B356" s="6"/>
    </row>
    <row r="357">
      <c r="B357" s="6"/>
    </row>
    <row r="358">
      <c r="B358" s="6"/>
    </row>
    <row r="359">
      <c r="B359" s="6"/>
    </row>
    <row r="360">
      <c r="B360" s="6"/>
    </row>
    <row r="361">
      <c r="B361" s="6"/>
    </row>
    <row r="362">
      <c r="B362" s="6"/>
    </row>
    <row r="363">
      <c r="B363" s="6"/>
    </row>
    <row r="364">
      <c r="B364" s="6"/>
    </row>
    <row r="365">
      <c r="B365" s="6"/>
    </row>
    <row r="366">
      <c r="B366" s="6"/>
    </row>
    <row r="367">
      <c r="B367" s="6"/>
    </row>
    <row r="368">
      <c r="B368" s="6"/>
    </row>
    <row r="369">
      <c r="B369" s="6"/>
    </row>
    <row r="370">
      <c r="B370" s="6"/>
    </row>
    <row r="371">
      <c r="B371" s="6"/>
    </row>
    <row r="372">
      <c r="B372" s="6"/>
    </row>
    <row r="373">
      <c r="B373" s="6"/>
    </row>
    <row r="374">
      <c r="B374" s="6"/>
    </row>
    <row r="375">
      <c r="B375" s="6"/>
    </row>
    <row r="376">
      <c r="B376" s="6"/>
    </row>
    <row r="377">
      <c r="B377" s="6"/>
    </row>
    <row r="378">
      <c r="B378" s="6"/>
    </row>
    <row r="379">
      <c r="B379" s="6"/>
    </row>
    <row r="380">
      <c r="B380" s="6"/>
    </row>
    <row r="381">
      <c r="B381" s="6"/>
    </row>
    <row r="382">
      <c r="B382" s="6"/>
    </row>
    <row r="383">
      <c r="B383" s="6"/>
    </row>
    <row r="384">
      <c r="B384" s="6"/>
    </row>
    <row r="385">
      <c r="B385" s="6"/>
    </row>
    <row r="386">
      <c r="B386" s="6"/>
    </row>
    <row r="387">
      <c r="B387" s="6"/>
    </row>
    <row r="388">
      <c r="B388" s="6"/>
    </row>
    <row r="389">
      <c r="B389" s="6"/>
    </row>
    <row r="390">
      <c r="B390" s="6"/>
    </row>
    <row r="391">
      <c r="B391" s="6"/>
    </row>
    <row r="392">
      <c r="B392" s="6"/>
    </row>
    <row r="393">
      <c r="B393" s="6"/>
    </row>
    <row r="394">
      <c r="B394" s="6"/>
    </row>
    <row r="395">
      <c r="B395" s="6"/>
    </row>
    <row r="396">
      <c r="B396" s="6"/>
    </row>
    <row r="397">
      <c r="B397" s="6"/>
    </row>
    <row r="398">
      <c r="B398" s="6"/>
    </row>
    <row r="399">
      <c r="B399" s="6"/>
    </row>
    <row r="400">
      <c r="B400" s="6"/>
    </row>
    <row r="401">
      <c r="B401" s="6"/>
    </row>
    <row r="402">
      <c r="B402" s="6"/>
    </row>
    <row r="403">
      <c r="B403" s="6"/>
    </row>
    <row r="404">
      <c r="B404" s="6"/>
    </row>
    <row r="405">
      <c r="B405" s="6"/>
    </row>
    <row r="406">
      <c r="B406" s="6"/>
    </row>
    <row r="407">
      <c r="B407" s="6"/>
    </row>
    <row r="408">
      <c r="B408" s="6"/>
    </row>
    <row r="409">
      <c r="B409" s="6"/>
    </row>
    <row r="410">
      <c r="B410" s="6"/>
    </row>
    <row r="411">
      <c r="B411" s="6"/>
    </row>
    <row r="412">
      <c r="B412" s="6"/>
    </row>
    <row r="413">
      <c r="B413" s="6"/>
    </row>
    <row r="414">
      <c r="B414" s="6"/>
    </row>
    <row r="415">
      <c r="B415" s="6"/>
    </row>
    <row r="416">
      <c r="B416" s="6"/>
    </row>
    <row r="417">
      <c r="B417" s="6"/>
    </row>
    <row r="418">
      <c r="B418" s="6"/>
    </row>
    <row r="419">
      <c r="B419" s="6"/>
    </row>
    <row r="420">
      <c r="B420" s="6"/>
    </row>
    <row r="421">
      <c r="B421" s="6"/>
    </row>
    <row r="422">
      <c r="B422" s="6"/>
    </row>
    <row r="423">
      <c r="B423" s="6"/>
    </row>
    <row r="424">
      <c r="B424" s="6"/>
    </row>
    <row r="425">
      <c r="B425" s="6"/>
    </row>
    <row r="426">
      <c r="B426" s="6"/>
    </row>
    <row r="427">
      <c r="B427" s="6"/>
    </row>
    <row r="428">
      <c r="B428" s="6"/>
    </row>
    <row r="429">
      <c r="B429" s="6"/>
    </row>
    <row r="430">
      <c r="B430" s="6"/>
    </row>
    <row r="431">
      <c r="B431" s="6"/>
    </row>
    <row r="432">
      <c r="B432" s="6"/>
    </row>
    <row r="433">
      <c r="B433" s="6"/>
    </row>
    <row r="434">
      <c r="B434" s="6"/>
    </row>
    <row r="435">
      <c r="B435" s="6"/>
    </row>
    <row r="436">
      <c r="B436" s="6"/>
    </row>
    <row r="437">
      <c r="B437" s="6"/>
    </row>
    <row r="438">
      <c r="B438" s="6"/>
    </row>
    <row r="439">
      <c r="B439" s="6"/>
    </row>
    <row r="440">
      <c r="B440" s="6"/>
    </row>
    <row r="441">
      <c r="B441" s="6"/>
    </row>
    <row r="442">
      <c r="B442" s="6"/>
    </row>
    <row r="443">
      <c r="B443" s="6"/>
    </row>
    <row r="444">
      <c r="B444" s="6"/>
    </row>
    <row r="445">
      <c r="B445" s="6"/>
    </row>
    <row r="446">
      <c r="B446" s="6"/>
    </row>
    <row r="447">
      <c r="B447" s="6"/>
    </row>
    <row r="448">
      <c r="B448" s="6"/>
    </row>
    <row r="449">
      <c r="B449" s="6"/>
    </row>
    <row r="450">
      <c r="B450" s="6"/>
    </row>
    <row r="451">
      <c r="B451" s="6"/>
    </row>
    <row r="452">
      <c r="B452" s="6"/>
    </row>
    <row r="453">
      <c r="B453" s="6"/>
    </row>
    <row r="454">
      <c r="B454" s="6"/>
    </row>
    <row r="455">
      <c r="B455" s="6"/>
    </row>
    <row r="456">
      <c r="B456" s="6"/>
    </row>
    <row r="457">
      <c r="B457" s="6"/>
    </row>
    <row r="458">
      <c r="B458" s="6"/>
    </row>
    <row r="459">
      <c r="B459" s="6"/>
    </row>
    <row r="460">
      <c r="B460" s="6"/>
    </row>
    <row r="461">
      <c r="B461" s="6"/>
    </row>
    <row r="462">
      <c r="B462" s="6"/>
    </row>
    <row r="463">
      <c r="B463" s="6"/>
    </row>
    <row r="464">
      <c r="B464" s="6"/>
    </row>
    <row r="465">
      <c r="B465" s="6"/>
    </row>
    <row r="466">
      <c r="B466" s="6"/>
    </row>
    <row r="467">
      <c r="B467" s="6"/>
    </row>
    <row r="468">
      <c r="B468" s="6"/>
    </row>
    <row r="469">
      <c r="B469" s="6"/>
    </row>
    <row r="470">
      <c r="B470" s="6"/>
    </row>
    <row r="471">
      <c r="B471" s="6"/>
    </row>
    <row r="472">
      <c r="B472" s="6"/>
    </row>
    <row r="473">
      <c r="B473" s="6"/>
    </row>
    <row r="474">
      <c r="B474" s="6"/>
    </row>
    <row r="475">
      <c r="B475" s="6"/>
    </row>
    <row r="476">
      <c r="B476" s="6"/>
    </row>
    <row r="477">
      <c r="B477" s="6"/>
    </row>
    <row r="478">
      <c r="B478" s="6"/>
    </row>
    <row r="479">
      <c r="B479" s="6"/>
    </row>
    <row r="480">
      <c r="B480" s="6"/>
    </row>
    <row r="481">
      <c r="B481" s="6"/>
    </row>
    <row r="482">
      <c r="B482" s="6"/>
    </row>
    <row r="483">
      <c r="B483" s="6"/>
    </row>
    <row r="484">
      <c r="B484" s="6"/>
    </row>
    <row r="485">
      <c r="B485" s="6"/>
    </row>
    <row r="486">
      <c r="B486" s="6"/>
    </row>
    <row r="487">
      <c r="B487" s="6"/>
    </row>
    <row r="488">
      <c r="B488" s="6"/>
    </row>
    <row r="489">
      <c r="B489" s="6"/>
    </row>
    <row r="490">
      <c r="B490" s="6"/>
    </row>
    <row r="491">
      <c r="B491" s="6"/>
    </row>
    <row r="492">
      <c r="B492" s="6"/>
    </row>
    <row r="493">
      <c r="B493" s="6"/>
    </row>
    <row r="494">
      <c r="B494" s="6"/>
    </row>
    <row r="495">
      <c r="B495" s="6"/>
    </row>
    <row r="496">
      <c r="B496" s="6"/>
    </row>
    <row r="497">
      <c r="B497" s="6"/>
    </row>
    <row r="498">
      <c r="B498" s="6"/>
    </row>
    <row r="499">
      <c r="B499" s="6"/>
    </row>
    <row r="500">
      <c r="B500" s="6"/>
    </row>
    <row r="501">
      <c r="B501" s="6"/>
    </row>
    <row r="502">
      <c r="B502" s="6"/>
    </row>
    <row r="503">
      <c r="B503" s="6"/>
    </row>
    <row r="504">
      <c r="B504" s="6"/>
    </row>
    <row r="505">
      <c r="B505" s="6"/>
    </row>
    <row r="506">
      <c r="B506" s="6"/>
    </row>
    <row r="507">
      <c r="B507" s="6"/>
    </row>
    <row r="508">
      <c r="B508" s="6"/>
    </row>
    <row r="509">
      <c r="B509" s="6"/>
    </row>
    <row r="510">
      <c r="B510" s="6"/>
    </row>
    <row r="511">
      <c r="B511" s="6"/>
    </row>
    <row r="512">
      <c r="B512" s="6"/>
    </row>
    <row r="513">
      <c r="B513" s="6"/>
    </row>
    <row r="514">
      <c r="B514" s="6"/>
    </row>
    <row r="515">
      <c r="B515" s="6"/>
    </row>
    <row r="516">
      <c r="B516" s="6"/>
    </row>
    <row r="517">
      <c r="B517" s="6"/>
    </row>
    <row r="518">
      <c r="B518" s="6"/>
    </row>
    <row r="519">
      <c r="B519" s="6"/>
    </row>
    <row r="520">
      <c r="B520" s="6"/>
    </row>
    <row r="521">
      <c r="B521" s="6"/>
    </row>
    <row r="522">
      <c r="B522" s="6"/>
    </row>
    <row r="523">
      <c r="B523" s="6"/>
    </row>
    <row r="524">
      <c r="B524" s="6"/>
    </row>
    <row r="525">
      <c r="B525" s="6"/>
    </row>
    <row r="526">
      <c r="B526" s="6"/>
    </row>
    <row r="527">
      <c r="B527" s="6"/>
    </row>
    <row r="528">
      <c r="B528" s="6"/>
    </row>
    <row r="529">
      <c r="B529" s="6"/>
    </row>
    <row r="530">
      <c r="B530" s="6"/>
    </row>
    <row r="531">
      <c r="B531" s="6"/>
    </row>
    <row r="532">
      <c r="B532" s="6"/>
    </row>
    <row r="533">
      <c r="B533" s="6"/>
    </row>
    <row r="534">
      <c r="B534" s="6"/>
    </row>
    <row r="535">
      <c r="B535" s="6"/>
    </row>
    <row r="536">
      <c r="B536" s="6"/>
    </row>
    <row r="537">
      <c r="B537" s="6"/>
    </row>
    <row r="538">
      <c r="B538" s="6"/>
    </row>
    <row r="539">
      <c r="B539" s="6"/>
    </row>
    <row r="540">
      <c r="B540" s="6"/>
    </row>
    <row r="541">
      <c r="B541" s="6"/>
    </row>
    <row r="542">
      <c r="B542" s="6"/>
    </row>
    <row r="543">
      <c r="B543" s="6"/>
    </row>
    <row r="544">
      <c r="B544" s="6"/>
    </row>
    <row r="545">
      <c r="B545" s="6"/>
    </row>
    <row r="546">
      <c r="B546" s="6"/>
    </row>
    <row r="547">
      <c r="B547" s="6"/>
    </row>
    <row r="548">
      <c r="B548" s="6"/>
    </row>
    <row r="549">
      <c r="B549" s="6"/>
    </row>
    <row r="550">
      <c r="B550" s="6"/>
    </row>
    <row r="551">
      <c r="B551" s="6"/>
    </row>
    <row r="552">
      <c r="B552" s="6"/>
    </row>
    <row r="553">
      <c r="B553" s="6"/>
    </row>
    <row r="554">
      <c r="B554" s="6"/>
    </row>
    <row r="555">
      <c r="B555" s="6"/>
    </row>
    <row r="556">
      <c r="B556" s="6"/>
    </row>
    <row r="557">
      <c r="B557" s="6"/>
    </row>
    <row r="558">
      <c r="B558" s="6"/>
    </row>
    <row r="559">
      <c r="B559" s="6"/>
    </row>
    <row r="560">
      <c r="B560" s="6"/>
    </row>
    <row r="561">
      <c r="B561" s="6"/>
    </row>
    <row r="562">
      <c r="B562" s="6"/>
    </row>
    <row r="563">
      <c r="B563" s="6"/>
    </row>
    <row r="564">
      <c r="B564" s="6"/>
    </row>
    <row r="565">
      <c r="B565" s="6"/>
    </row>
    <row r="566">
      <c r="B566" s="6"/>
    </row>
    <row r="567">
      <c r="B567" s="6"/>
    </row>
    <row r="568">
      <c r="B568" s="6"/>
    </row>
    <row r="569">
      <c r="B569" s="6"/>
    </row>
    <row r="570">
      <c r="B570" s="6"/>
    </row>
    <row r="571">
      <c r="B571" s="6"/>
    </row>
    <row r="572">
      <c r="B572" s="6"/>
    </row>
    <row r="573">
      <c r="B573" s="6"/>
    </row>
    <row r="574">
      <c r="B574" s="6"/>
    </row>
    <row r="575">
      <c r="B575" s="6"/>
    </row>
    <row r="576">
      <c r="B576" s="6"/>
    </row>
    <row r="577">
      <c r="B577" s="6"/>
    </row>
    <row r="578">
      <c r="B578" s="6"/>
    </row>
    <row r="579">
      <c r="B579" s="6"/>
    </row>
    <row r="580">
      <c r="B580" s="6"/>
    </row>
    <row r="581">
      <c r="B581" s="6"/>
    </row>
    <row r="582">
      <c r="B582" s="6"/>
    </row>
    <row r="583">
      <c r="B583" s="6"/>
    </row>
    <row r="584">
      <c r="B584" s="6"/>
    </row>
    <row r="585">
      <c r="B585" s="6"/>
    </row>
    <row r="586">
      <c r="B586" s="6"/>
    </row>
    <row r="587">
      <c r="B587" s="6"/>
    </row>
    <row r="588">
      <c r="B588" s="6"/>
    </row>
    <row r="589">
      <c r="B589" s="6"/>
    </row>
    <row r="590">
      <c r="B590" s="6"/>
    </row>
    <row r="591">
      <c r="B591" s="6"/>
    </row>
    <row r="592">
      <c r="B592" s="6"/>
    </row>
    <row r="593">
      <c r="B593" s="6"/>
    </row>
    <row r="594">
      <c r="B594" s="6"/>
    </row>
    <row r="595">
      <c r="B595" s="6"/>
    </row>
    <row r="596">
      <c r="B596" s="6"/>
    </row>
    <row r="597">
      <c r="B597" s="6"/>
    </row>
    <row r="598">
      <c r="B598" s="6"/>
    </row>
    <row r="599">
      <c r="B599" s="6"/>
    </row>
    <row r="600">
      <c r="B600" s="6"/>
    </row>
    <row r="601">
      <c r="B601" s="6"/>
    </row>
    <row r="602">
      <c r="B602" s="6"/>
    </row>
    <row r="603">
      <c r="B603" s="6"/>
    </row>
    <row r="604">
      <c r="B604" s="6"/>
    </row>
    <row r="605">
      <c r="B605" s="6"/>
    </row>
    <row r="606">
      <c r="B606" s="6"/>
    </row>
    <row r="607">
      <c r="B607" s="6"/>
    </row>
    <row r="608">
      <c r="B608" s="6"/>
    </row>
    <row r="609">
      <c r="B609" s="6"/>
    </row>
    <row r="610">
      <c r="B610" s="6"/>
    </row>
    <row r="611">
      <c r="B611" s="6"/>
    </row>
    <row r="612">
      <c r="B612" s="6"/>
    </row>
    <row r="613">
      <c r="B613" s="6"/>
    </row>
    <row r="614">
      <c r="B614" s="6"/>
    </row>
    <row r="615">
      <c r="B615" s="6"/>
    </row>
    <row r="616">
      <c r="B616" s="6"/>
    </row>
    <row r="617">
      <c r="B617" s="6"/>
    </row>
    <row r="618">
      <c r="B618" s="6"/>
    </row>
    <row r="619">
      <c r="B619" s="6"/>
    </row>
    <row r="620">
      <c r="B620" s="6"/>
    </row>
    <row r="621">
      <c r="B621" s="6"/>
    </row>
    <row r="622">
      <c r="B622" s="6"/>
    </row>
    <row r="623">
      <c r="B623" s="6"/>
    </row>
    <row r="624">
      <c r="B624" s="6"/>
    </row>
    <row r="625">
      <c r="B625" s="6"/>
    </row>
    <row r="626">
      <c r="B626" s="6"/>
    </row>
    <row r="627">
      <c r="B627" s="6"/>
    </row>
    <row r="628">
      <c r="B628" s="6"/>
    </row>
    <row r="629">
      <c r="B629" s="6"/>
    </row>
    <row r="630">
      <c r="B630" s="6"/>
    </row>
    <row r="631">
      <c r="B631" s="6"/>
    </row>
    <row r="632">
      <c r="B632" s="6"/>
    </row>
    <row r="633">
      <c r="B633" s="6"/>
    </row>
    <row r="634">
      <c r="B634" s="6"/>
    </row>
    <row r="635">
      <c r="B635" s="6"/>
    </row>
    <row r="636">
      <c r="B636" s="6"/>
    </row>
    <row r="637">
      <c r="B637" s="6"/>
    </row>
    <row r="638">
      <c r="B638" s="6"/>
    </row>
    <row r="639">
      <c r="B639" s="6"/>
    </row>
    <row r="640">
      <c r="B640" s="6"/>
    </row>
    <row r="641">
      <c r="B641" s="6"/>
    </row>
    <row r="642">
      <c r="B642" s="6"/>
    </row>
    <row r="643">
      <c r="B643" s="6"/>
    </row>
    <row r="644">
      <c r="B644" s="6"/>
    </row>
    <row r="645">
      <c r="B645" s="6"/>
    </row>
    <row r="646">
      <c r="B646" s="6"/>
    </row>
    <row r="647">
      <c r="B647" s="6"/>
    </row>
    <row r="648">
      <c r="B648" s="6"/>
    </row>
    <row r="649">
      <c r="B649" s="6"/>
    </row>
    <row r="650">
      <c r="B650" s="6"/>
    </row>
    <row r="651">
      <c r="B651" s="6"/>
    </row>
    <row r="652">
      <c r="B652" s="6"/>
    </row>
    <row r="653">
      <c r="B653" s="6"/>
    </row>
    <row r="654">
      <c r="B654" s="6"/>
    </row>
    <row r="655">
      <c r="B655" s="6"/>
    </row>
    <row r="656">
      <c r="B656" s="6"/>
    </row>
    <row r="657">
      <c r="B657" s="6"/>
    </row>
    <row r="658">
      <c r="B658" s="6"/>
    </row>
    <row r="659">
      <c r="B659" s="6"/>
    </row>
    <row r="660">
      <c r="B660" s="6"/>
    </row>
    <row r="661">
      <c r="B661" s="6"/>
    </row>
    <row r="662">
      <c r="B662" s="6"/>
    </row>
    <row r="663">
      <c r="B663" s="6"/>
    </row>
    <row r="664">
      <c r="B664" s="6"/>
    </row>
    <row r="665">
      <c r="B665" s="6"/>
    </row>
    <row r="666">
      <c r="B666" s="6"/>
    </row>
    <row r="667">
      <c r="B667" s="6"/>
    </row>
    <row r="668">
      <c r="B668" s="6"/>
    </row>
    <row r="669">
      <c r="B669" s="6"/>
    </row>
    <row r="670">
      <c r="B670" s="6"/>
    </row>
    <row r="671">
      <c r="B671" s="6"/>
    </row>
    <row r="672">
      <c r="B672" s="6"/>
    </row>
    <row r="673">
      <c r="B673" s="6"/>
    </row>
    <row r="674">
      <c r="B674" s="6"/>
    </row>
    <row r="675">
      <c r="B675" s="6"/>
    </row>
    <row r="676">
      <c r="B676" s="6"/>
    </row>
    <row r="677">
      <c r="B677" s="6"/>
    </row>
    <row r="678">
      <c r="B678" s="6"/>
    </row>
    <row r="679">
      <c r="B679" s="6"/>
    </row>
    <row r="680">
      <c r="B680" s="6"/>
    </row>
    <row r="681">
      <c r="B681" s="6"/>
    </row>
    <row r="682">
      <c r="B682" s="6"/>
    </row>
    <row r="683">
      <c r="B683" s="6"/>
    </row>
    <row r="684">
      <c r="B684" s="6"/>
    </row>
    <row r="685">
      <c r="B685" s="6"/>
    </row>
    <row r="686">
      <c r="B686" s="6"/>
    </row>
    <row r="687">
      <c r="B687" s="6"/>
    </row>
    <row r="688">
      <c r="B688" s="6"/>
    </row>
    <row r="689">
      <c r="B689" s="6"/>
    </row>
    <row r="690">
      <c r="B690" s="6"/>
    </row>
    <row r="691">
      <c r="B691" s="6"/>
    </row>
    <row r="692">
      <c r="B692" s="6"/>
    </row>
    <row r="693">
      <c r="B693" s="6"/>
    </row>
    <row r="694">
      <c r="B694" s="6"/>
    </row>
    <row r="695">
      <c r="B695" s="6"/>
    </row>
    <row r="696">
      <c r="B696" s="6"/>
    </row>
    <row r="697">
      <c r="B697" s="6"/>
    </row>
    <row r="698">
      <c r="B698" s="6"/>
    </row>
    <row r="699">
      <c r="B699" s="6"/>
    </row>
    <row r="700">
      <c r="B700" s="6"/>
    </row>
    <row r="701">
      <c r="B701" s="6"/>
    </row>
    <row r="702">
      <c r="B702" s="6"/>
    </row>
    <row r="703">
      <c r="B703" s="6"/>
    </row>
    <row r="704">
      <c r="B704" s="6"/>
    </row>
    <row r="705">
      <c r="B705" s="6"/>
    </row>
    <row r="706">
      <c r="B706" s="6"/>
    </row>
    <row r="707">
      <c r="B707" s="6"/>
    </row>
    <row r="708">
      <c r="B708" s="6"/>
    </row>
    <row r="709">
      <c r="B709" s="6"/>
    </row>
    <row r="710">
      <c r="B710" s="6"/>
    </row>
    <row r="711">
      <c r="B711" s="6"/>
    </row>
    <row r="712">
      <c r="B712" s="6"/>
    </row>
    <row r="713">
      <c r="B713" s="6"/>
    </row>
    <row r="714">
      <c r="B714" s="6"/>
    </row>
    <row r="715">
      <c r="B715" s="6"/>
    </row>
    <row r="716">
      <c r="B716" s="6"/>
    </row>
    <row r="717">
      <c r="B717" s="6"/>
    </row>
    <row r="718">
      <c r="B718" s="6"/>
    </row>
    <row r="719">
      <c r="B719" s="6"/>
    </row>
    <row r="720">
      <c r="B720" s="6"/>
    </row>
    <row r="721">
      <c r="B721" s="6"/>
    </row>
    <row r="722">
      <c r="B722" s="6"/>
    </row>
    <row r="723">
      <c r="B723" s="6"/>
    </row>
    <row r="724">
      <c r="B724" s="6"/>
    </row>
    <row r="725">
      <c r="B725" s="6"/>
    </row>
    <row r="726">
      <c r="B726" s="6"/>
    </row>
    <row r="727">
      <c r="B727" s="6"/>
    </row>
    <row r="728">
      <c r="B728" s="6"/>
    </row>
    <row r="729">
      <c r="B729" s="6"/>
    </row>
    <row r="730">
      <c r="B730" s="6"/>
    </row>
    <row r="731">
      <c r="B731" s="6"/>
    </row>
    <row r="732">
      <c r="B732" s="6"/>
    </row>
    <row r="733">
      <c r="B733" s="6"/>
    </row>
    <row r="734">
      <c r="B734" s="6"/>
    </row>
    <row r="735">
      <c r="B735" s="6"/>
    </row>
    <row r="736">
      <c r="B736" s="6"/>
    </row>
    <row r="737">
      <c r="B737" s="6"/>
    </row>
    <row r="738">
      <c r="B738" s="6"/>
    </row>
    <row r="739">
      <c r="B739" s="6"/>
    </row>
    <row r="740">
      <c r="B740" s="6"/>
    </row>
    <row r="741">
      <c r="B741" s="6"/>
    </row>
    <row r="742">
      <c r="B742" s="6"/>
    </row>
    <row r="743">
      <c r="B743" s="6"/>
    </row>
    <row r="744">
      <c r="B744" s="6"/>
    </row>
    <row r="745">
      <c r="B745" s="6"/>
    </row>
    <row r="746">
      <c r="B746" s="6"/>
    </row>
    <row r="747">
      <c r="B747" s="6"/>
    </row>
    <row r="748">
      <c r="B748" s="6"/>
    </row>
    <row r="749">
      <c r="B749" s="6"/>
    </row>
    <row r="750">
      <c r="B750" s="6"/>
    </row>
    <row r="751">
      <c r="B751" s="6"/>
    </row>
    <row r="752">
      <c r="B752" s="6"/>
    </row>
    <row r="753">
      <c r="B753" s="6"/>
    </row>
    <row r="754">
      <c r="B754" s="6"/>
    </row>
    <row r="755">
      <c r="B755" s="6"/>
    </row>
    <row r="756">
      <c r="B756" s="6"/>
    </row>
    <row r="757">
      <c r="B757" s="6"/>
    </row>
    <row r="758">
      <c r="B758" s="6"/>
    </row>
    <row r="759">
      <c r="B759" s="6"/>
    </row>
    <row r="760">
      <c r="B760" s="6"/>
    </row>
    <row r="761">
      <c r="B761" s="6"/>
    </row>
    <row r="762">
      <c r="B762" s="6"/>
    </row>
    <row r="763">
      <c r="B763" s="6"/>
    </row>
    <row r="764">
      <c r="B764" s="6"/>
    </row>
    <row r="765">
      <c r="B765" s="6"/>
    </row>
    <row r="766">
      <c r="B766" s="6"/>
    </row>
    <row r="767">
      <c r="B767" s="6"/>
    </row>
    <row r="768">
      <c r="B768" s="6"/>
    </row>
    <row r="769">
      <c r="B769" s="6"/>
    </row>
    <row r="770">
      <c r="B770" s="6"/>
    </row>
    <row r="771">
      <c r="B771" s="6"/>
    </row>
    <row r="772">
      <c r="B772" s="6"/>
    </row>
    <row r="773">
      <c r="B773" s="6"/>
    </row>
    <row r="774">
      <c r="B774" s="6"/>
    </row>
    <row r="775">
      <c r="B775" s="6"/>
    </row>
    <row r="776">
      <c r="B776" s="6"/>
    </row>
    <row r="777">
      <c r="B777" s="6"/>
    </row>
    <row r="778">
      <c r="B778" s="6"/>
    </row>
    <row r="779">
      <c r="B779" s="6"/>
    </row>
    <row r="780">
      <c r="B780" s="6"/>
    </row>
    <row r="781">
      <c r="B781" s="6"/>
    </row>
    <row r="782">
      <c r="B782" s="6"/>
    </row>
    <row r="783">
      <c r="B783" s="6"/>
    </row>
    <row r="784">
      <c r="B784" s="6"/>
    </row>
    <row r="785">
      <c r="B785" s="6"/>
    </row>
    <row r="786">
      <c r="B786" s="6"/>
    </row>
    <row r="787">
      <c r="B787" s="6"/>
    </row>
    <row r="788">
      <c r="B788" s="6"/>
    </row>
    <row r="789">
      <c r="B789" s="6"/>
    </row>
    <row r="790">
      <c r="B790" s="6"/>
    </row>
    <row r="791">
      <c r="B791" s="6"/>
    </row>
    <row r="792">
      <c r="B792" s="6"/>
    </row>
    <row r="793">
      <c r="B793" s="6"/>
    </row>
    <row r="794">
      <c r="B794" s="6"/>
    </row>
    <row r="795">
      <c r="B795" s="6"/>
    </row>
    <row r="796">
      <c r="B796" s="6"/>
    </row>
    <row r="797">
      <c r="B797" s="6"/>
    </row>
    <row r="798">
      <c r="B798" s="6"/>
    </row>
    <row r="799">
      <c r="B799" s="6"/>
    </row>
    <row r="800">
      <c r="B800" s="6"/>
    </row>
    <row r="801">
      <c r="B801" s="6"/>
    </row>
    <row r="802">
      <c r="B802" s="6"/>
    </row>
    <row r="803">
      <c r="B803" s="6"/>
    </row>
    <row r="804">
      <c r="B804" s="6"/>
    </row>
    <row r="805">
      <c r="B805" s="6"/>
    </row>
    <row r="806">
      <c r="B806" s="6"/>
    </row>
    <row r="807">
      <c r="B807" s="6"/>
    </row>
    <row r="808">
      <c r="B808" s="6"/>
    </row>
    <row r="809">
      <c r="B809" s="6"/>
    </row>
    <row r="810">
      <c r="B810" s="6"/>
    </row>
    <row r="811">
      <c r="B811" s="6"/>
    </row>
    <row r="812">
      <c r="B812" s="6"/>
    </row>
    <row r="813">
      <c r="B813" s="6"/>
    </row>
    <row r="814">
      <c r="B814" s="6"/>
    </row>
    <row r="815">
      <c r="B815" s="6"/>
    </row>
    <row r="816">
      <c r="B816" s="6"/>
    </row>
    <row r="817">
      <c r="B817" s="6"/>
    </row>
    <row r="818">
      <c r="B818" s="6"/>
    </row>
    <row r="819">
      <c r="B819" s="6"/>
    </row>
    <row r="820">
      <c r="B820" s="6"/>
    </row>
    <row r="821">
      <c r="B821" s="6"/>
    </row>
    <row r="822">
      <c r="B822" s="6"/>
    </row>
    <row r="823">
      <c r="B823" s="6"/>
    </row>
    <row r="824">
      <c r="B824" s="6"/>
    </row>
    <row r="825">
      <c r="B825" s="6"/>
    </row>
    <row r="826">
      <c r="B826" s="6"/>
    </row>
    <row r="827">
      <c r="B827" s="6"/>
    </row>
    <row r="828">
      <c r="B828" s="6"/>
    </row>
    <row r="829">
      <c r="B829" s="6"/>
    </row>
    <row r="830">
      <c r="B830" s="6"/>
    </row>
    <row r="831">
      <c r="B831" s="6"/>
    </row>
    <row r="832">
      <c r="B832" s="6"/>
    </row>
    <row r="833">
      <c r="B833" s="6"/>
    </row>
    <row r="834">
      <c r="B834" s="6"/>
    </row>
    <row r="835">
      <c r="B835" s="6"/>
    </row>
    <row r="836">
      <c r="B836" s="6"/>
    </row>
    <row r="837">
      <c r="B837" s="6"/>
    </row>
    <row r="838">
      <c r="B838" s="6"/>
    </row>
    <row r="839">
      <c r="B839" s="6"/>
    </row>
    <row r="840">
      <c r="B840" s="6"/>
    </row>
    <row r="841">
      <c r="B841" s="6"/>
    </row>
    <row r="842">
      <c r="B842" s="6"/>
    </row>
    <row r="843">
      <c r="B843" s="6"/>
    </row>
    <row r="844">
      <c r="B844" s="6"/>
    </row>
    <row r="845">
      <c r="B845" s="6"/>
    </row>
    <row r="846">
      <c r="B846" s="6"/>
    </row>
    <row r="847">
      <c r="B847" s="6"/>
    </row>
    <row r="848">
      <c r="B848" s="6"/>
    </row>
    <row r="849">
      <c r="B849" s="6"/>
    </row>
    <row r="850">
      <c r="B850" s="6"/>
    </row>
    <row r="851">
      <c r="B851" s="6"/>
    </row>
    <row r="852">
      <c r="B852" s="6"/>
    </row>
    <row r="853">
      <c r="B853" s="6"/>
    </row>
    <row r="854">
      <c r="B854" s="6"/>
    </row>
    <row r="855">
      <c r="B855" s="6"/>
    </row>
    <row r="856">
      <c r="B856" s="6"/>
    </row>
    <row r="857">
      <c r="B857" s="6"/>
    </row>
    <row r="858">
      <c r="B858" s="6"/>
    </row>
    <row r="859">
      <c r="B859" s="6"/>
    </row>
    <row r="860">
      <c r="B860" s="6"/>
    </row>
    <row r="861">
      <c r="B861" s="6"/>
    </row>
    <row r="862">
      <c r="B862" s="6"/>
    </row>
    <row r="863">
      <c r="B863" s="6"/>
    </row>
    <row r="864">
      <c r="B864" s="6"/>
    </row>
    <row r="865">
      <c r="B865" s="6"/>
    </row>
    <row r="866">
      <c r="B866" s="6"/>
    </row>
    <row r="867">
      <c r="B867" s="6"/>
    </row>
    <row r="868">
      <c r="B868" s="6"/>
    </row>
    <row r="869">
      <c r="B869" s="6"/>
    </row>
    <row r="870">
      <c r="B870" s="6"/>
    </row>
    <row r="871">
      <c r="B871" s="6"/>
    </row>
    <row r="872">
      <c r="B872" s="6"/>
    </row>
    <row r="873">
      <c r="B873" s="6"/>
    </row>
    <row r="874">
      <c r="B874" s="6"/>
    </row>
    <row r="875">
      <c r="B875" s="6"/>
    </row>
    <row r="876">
      <c r="B876" s="6"/>
    </row>
    <row r="877">
      <c r="B877" s="6"/>
    </row>
    <row r="878">
      <c r="B878" s="6"/>
    </row>
    <row r="879">
      <c r="B879" s="6"/>
    </row>
    <row r="880">
      <c r="B880" s="6"/>
    </row>
    <row r="881">
      <c r="B881" s="6"/>
    </row>
    <row r="882">
      <c r="B882" s="6"/>
    </row>
    <row r="883">
      <c r="B883" s="6"/>
    </row>
    <row r="884">
      <c r="B884" s="6"/>
    </row>
    <row r="885">
      <c r="B885" s="6"/>
    </row>
    <row r="886">
      <c r="B886" s="6"/>
    </row>
    <row r="887">
      <c r="B887" s="6"/>
    </row>
    <row r="888">
      <c r="B888" s="6"/>
    </row>
    <row r="889">
      <c r="B889" s="6"/>
    </row>
    <row r="890">
      <c r="B890" s="6"/>
    </row>
    <row r="891">
      <c r="B891" s="6"/>
    </row>
    <row r="892">
      <c r="B892" s="6"/>
    </row>
    <row r="893">
      <c r="B893" s="6"/>
    </row>
    <row r="894">
      <c r="B894" s="6"/>
    </row>
    <row r="895">
      <c r="B895" s="6"/>
    </row>
    <row r="896">
      <c r="B896" s="6"/>
    </row>
    <row r="897">
      <c r="B897" s="6"/>
    </row>
    <row r="898">
      <c r="B898" s="6"/>
    </row>
    <row r="899">
      <c r="B899" s="6"/>
    </row>
    <row r="900">
      <c r="B900" s="6"/>
    </row>
    <row r="901">
      <c r="B901" s="6"/>
    </row>
    <row r="902">
      <c r="B902" s="6"/>
    </row>
    <row r="903">
      <c r="B903" s="6"/>
    </row>
    <row r="904">
      <c r="B904" s="6"/>
    </row>
    <row r="905">
      <c r="B905" s="6"/>
    </row>
    <row r="906">
      <c r="B906" s="6"/>
    </row>
    <row r="907">
      <c r="B907" s="6"/>
    </row>
    <row r="908">
      <c r="B908" s="6"/>
    </row>
    <row r="909">
      <c r="B909" s="6"/>
    </row>
    <row r="910">
      <c r="B910" s="6"/>
    </row>
    <row r="911">
      <c r="B911" s="6"/>
    </row>
    <row r="912">
      <c r="B912" s="6"/>
    </row>
    <row r="913">
      <c r="B913" s="6"/>
    </row>
    <row r="914">
      <c r="B914" s="6"/>
    </row>
    <row r="915">
      <c r="B915" s="6"/>
    </row>
    <row r="916">
      <c r="B916" s="6"/>
    </row>
    <row r="917">
      <c r="B917" s="6"/>
    </row>
    <row r="918">
      <c r="B918" s="6"/>
    </row>
    <row r="919">
      <c r="B919" s="6"/>
    </row>
    <row r="920">
      <c r="B920" s="6"/>
    </row>
    <row r="921">
      <c r="B921" s="6"/>
    </row>
    <row r="922">
      <c r="B922" s="6"/>
    </row>
    <row r="923">
      <c r="B923" s="6"/>
    </row>
    <row r="924">
      <c r="B924" s="6"/>
    </row>
    <row r="925">
      <c r="B925" s="6"/>
    </row>
    <row r="926">
      <c r="B926" s="6"/>
    </row>
    <row r="927">
      <c r="B927" s="6"/>
    </row>
    <row r="928">
      <c r="B928" s="6"/>
    </row>
    <row r="929">
      <c r="B929" s="6"/>
    </row>
    <row r="930">
      <c r="B930" s="6"/>
    </row>
    <row r="931">
      <c r="B931" s="6"/>
    </row>
    <row r="932">
      <c r="B932" s="6"/>
    </row>
    <row r="933">
      <c r="B933" s="6"/>
    </row>
    <row r="934">
      <c r="B934" s="6"/>
    </row>
    <row r="935">
      <c r="B935" s="6"/>
    </row>
    <row r="936">
      <c r="B936" s="6"/>
    </row>
    <row r="937">
      <c r="B937" s="6"/>
    </row>
    <row r="938">
      <c r="B938" s="6"/>
    </row>
    <row r="939">
      <c r="B939" s="6"/>
    </row>
    <row r="940">
      <c r="B940" s="6"/>
    </row>
    <row r="941">
      <c r="B941" s="6"/>
    </row>
    <row r="942">
      <c r="B942" s="6"/>
    </row>
    <row r="943">
      <c r="B943" s="6"/>
    </row>
    <row r="944">
      <c r="B944" s="6"/>
    </row>
    <row r="945">
      <c r="B945" s="6"/>
    </row>
    <row r="946">
      <c r="B946" s="6"/>
    </row>
    <row r="947">
      <c r="B947" s="6"/>
    </row>
    <row r="948">
      <c r="B948" s="6"/>
    </row>
    <row r="949">
      <c r="B949" s="6"/>
    </row>
    <row r="950">
      <c r="B950" s="6"/>
    </row>
    <row r="951">
      <c r="B951" s="6"/>
    </row>
    <row r="952">
      <c r="B952" s="6"/>
    </row>
    <row r="953">
      <c r="B953" s="6"/>
    </row>
    <row r="954">
      <c r="B954" s="6"/>
    </row>
    <row r="955">
      <c r="B955" s="6"/>
    </row>
    <row r="956">
      <c r="B956" s="6"/>
    </row>
    <row r="957">
      <c r="B957" s="6"/>
    </row>
    <row r="958">
      <c r="B958" s="6"/>
    </row>
    <row r="959">
      <c r="B959" s="6"/>
    </row>
    <row r="960">
      <c r="B960" s="6"/>
    </row>
    <row r="961">
      <c r="B961" s="6"/>
    </row>
    <row r="962">
      <c r="B962" s="6"/>
    </row>
    <row r="963">
      <c r="B963" s="6"/>
    </row>
    <row r="964">
      <c r="B964" s="6"/>
    </row>
    <row r="965">
      <c r="B965" s="6"/>
    </row>
    <row r="966">
      <c r="B966" s="6"/>
    </row>
    <row r="967">
      <c r="B967" s="6"/>
    </row>
    <row r="968">
      <c r="B968" s="6"/>
    </row>
    <row r="969">
      <c r="B969" s="6"/>
    </row>
    <row r="970">
      <c r="B970" s="6"/>
    </row>
    <row r="971">
      <c r="B971" s="6"/>
    </row>
    <row r="972">
      <c r="B972" s="6"/>
    </row>
    <row r="973">
      <c r="B973" s="6"/>
    </row>
    <row r="974">
      <c r="B974" s="6"/>
    </row>
  </sheetData>
  <dataValidations>
    <dataValidation type="list" allowBlank="1" showErrorMessage="1" sqref="E8:Y11 E13:Y16 E18:Y23 E26:Y30 E33:Y36 E39:Y40 E43:Y45 E48:Y51 E54:Y67">
      <formula1>"N/A,1(TRL) - Need Identified,2(TRL) - Conceptual Design,3(TRL) - standalone PoC,4(TRL) - Deployed in Sim (integrated, off-vehicle),5(TRL) - Deployed on Dev Route (SafetyDriver, ManConf),6(TRL) - Deployed on Dev Route (SafetyDriver),7(TRL) - Deployed (Safe"&amp;"tyDriver),8(TRL) - Deployed on Dev Route (no SafetyDriver),9(TRL) - Deployed (no SafetyDriver)"</formula1>
    </dataValidation>
  </dataValidations>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Row="1"/>
  <cols>
    <col customWidth="1" min="1" max="1" width="12.38"/>
    <col customWidth="1" min="2" max="2" width="16.0"/>
    <col customWidth="1" min="3" max="3" width="50.13"/>
    <col customWidth="1" min="4" max="4" width="58.38"/>
    <col customWidth="1" min="5" max="5" width="9.5"/>
    <col customWidth="1" min="6" max="8" width="14.88"/>
    <col customWidth="1" min="9" max="9" width="17.63"/>
    <col customWidth="1" min="10" max="10" width="13.5"/>
    <col customWidth="1" min="11" max="12" width="17.88"/>
    <col customWidth="1" min="13" max="13" width="13.0"/>
    <col customWidth="1" min="14" max="14" width="17.63"/>
    <col customWidth="1" min="15" max="15" width="46.63"/>
    <col customWidth="1" min="16" max="18" width="20.5"/>
    <col customWidth="1" min="19" max="19" width="57.0"/>
    <col customWidth="1" min="20" max="20" width="24.25"/>
    <col customWidth="1" min="21" max="21" width="21.38"/>
    <col customWidth="1" min="22" max="23" width="17.25"/>
  </cols>
  <sheetData>
    <row r="1" ht="45.75" customHeight="1">
      <c r="A1" s="584" t="s">
        <v>1153</v>
      </c>
      <c r="B1" s="585" t="s">
        <v>1154</v>
      </c>
      <c r="C1" s="586" t="s">
        <v>1155</v>
      </c>
      <c r="D1" s="587" t="s">
        <v>1156</v>
      </c>
      <c r="E1" s="585" t="s">
        <v>1157</v>
      </c>
      <c r="F1" s="585" t="s">
        <v>1158</v>
      </c>
      <c r="G1" s="585" t="s">
        <v>1159</v>
      </c>
      <c r="H1" s="585" t="s">
        <v>1160</v>
      </c>
      <c r="I1" s="588" t="s">
        <v>1161</v>
      </c>
      <c r="J1" s="588" t="s">
        <v>1162</v>
      </c>
      <c r="K1" s="584" t="s">
        <v>1163</v>
      </c>
      <c r="L1" s="584" t="s">
        <v>1164</v>
      </c>
      <c r="M1" s="589" t="s">
        <v>1165</v>
      </c>
      <c r="N1" s="585" t="s">
        <v>1166</v>
      </c>
      <c r="O1" s="586" t="s">
        <v>1167</v>
      </c>
      <c r="P1" s="584" t="s">
        <v>1168</v>
      </c>
      <c r="Q1" s="584" t="s">
        <v>1169</v>
      </c>
      <c r="R1" s="589" t="s">
        <v>1170</v>
      </c>
      <c r="S1" s="590" t="s">
        <v>1171</v>
      </c>
      <c r="T1" s="590" t="s">
        <v>1172</v>
      </c>
      <c r="U1" s="591" t="s">
        <v>1173</v>
      </c>
      <c r="V1" s="589" t="s">
        <v>1174</v>
      </c>
      <c r="W1" s="589" t="s">
        <v>1175</v>
      </c>
    </row>
    <row r="2" ht="22.5" customHeight="1">
      <c r="A2" s="592"/>
      <c r="B2" s="593" t="s">
        <v>1176</v>
      </c>
      <c r="C2" s="594" t="s">
        <v>1177</v>
      </c>
      <c r="D2" s="595" t="s">
        <v>1178</v>
      </c>
      <c r="E2" s="596"/>
      <c r="F2" s="597"/>
      <c r="G2" s="597"/>
      <c r="H2" s="597"/>
      <c r="I2" s="598" t="s">
        <v>1179</v>
      </c>
      <c r="J2" s="599">
        <v>45908.0</v>
      </c>
      <c r="K2" s="11">
        <v>4.0</v>
      </c>
      <c r="L2" s="11">
        <v>4.0</v>
      </c>
      <c r="M2" s="600">
        <f t="shared" ref="M2:M124" si="1">K2*L2</f>
        <v>16</v>
      </c>
      <c r="N2" s="601"/>
      <c r="O2" s="602"/>
      <c r="P2" s="603"/>
      <c r="Q2" s="603"/>
      <c r="R2" s="600"/>
      <c r="S2" s="602"/>
      <c r="T2" s="604"/>
      <c r="U2" s="605"/>
      <c r="V2" s="606"/>
      <c r="W2" s="606"/>
    </row>
    <row r="3" ht="22.5" customHeight="1">
      <c r="A3" s="592"/>
      <c r="B3" s="593" t="s">
        <v>1176</v>
      </c>
      <c r="C3" s="594" t="s">
        <v>1180</v>
      </c>
      <c r="D3" s="595"/>
      <c r="E3" s="596"/>
      <c r="F3" s="597"/>
      <c r="G3" s="597"/>
      <c r="H3" s="597"/>
      <c r="I3" s="607"/>
      <c r="J3" s="599"/>
      <c r="K3" s="603"/>
      <c r="L3" s="603"/>
      <c r="M3" s="600">
        <f t="shared" si="1"/>
        <v>0</v>
      </c>
      <c r="N3" s="601"/>
      <c r="O3" s="602"/>
      <c r="P3" s="603"/>
      <c r="Q3" s="603"/>
      <c r="R3" s="600"/>
      <c r="S3" s="602"/>
      <c r="T3" s="604"/>
      <c r="U3" s="605"/>
      <c r="V3" s="606"/>
      <c r="W3" s="606"/>
    </row>
    <row r="4" ht="22.5" customHeight="1">
      <c r="A4" s="592"/>
      <c r="B4" s="593" t="s">
        <v>1176</v>
      </c>
      <c r="C4" s="594" t="s">
        <v>1180</v>
      </c>
      <c r="D4" s="595"/>
      <c r="E4" s="596"/>
      <c r="F4" s="597"/>
      <c r="G4" s="597"/>
      <c r="H4" s="597"/>
      <c r="I4" s="607"/>
      <c r="J4" s="599"/>
      <c r="K4" s="603"/>
      <c r="L4" s="603"/>
      <c r="M4" s="600">
        <f t="shared" si="1"/>
        <v>0</v>
      </c>
      <c r="N4" s="601"/>
      <c r="O4" s="602"/>
      <c r="P4" s="603"/>
      <c r="Q4" s="603"/>
      <c r="R4" s="600"/>
      <c r="S4" s="602"/>
      <c r="T4" s="604"/>
      <c r="U4" s="605"/>
      <c r="V4" s="606"/>
      <c r="W4" s="606"/>
    </row>
    <row r="5" ht="22.5" customHeight="1">
      <c r="A5" s="592"/>
      <c r="B5" s="593" t="s">
        <v>1176</v>
      </c>
      <c r="C5" s="594" t="s">
        <v>1181</v>
      </c>
      <c r="D5" s="595"/>
      <c r="E5" s="596"/>
      <c r="F5" s="597"/>
      <c r="G5" s="597"/>
      <c r="H5" s="597"/>
      <c r="I5" s="607"/>
      <c r="J5" s="599"/>
      <c r="K5" s="603"/>
      <c r="L5" s="603"/>
      <c r="M5" s="600">
        <f t="shared" si="1"/>
        <v>0</v>
      </c>
      <c r="N5" s="601"/>
      <c r="O5" s="602"/>
      <c r="P5" s="603"/>
      <c r="Q5" s="603"/>
      <c r="R5" s="600"/>
      <c r="S5" s="602"/>
      <c r="T5" s="604"/>
      <c r="U5" s="605"/>
      <c r="V5" s="606"/>
      <c r="W5" s="606"/>
    </row>
    <row r="6" ht="22.5" customHeight="1">
      <c r="A6" s="592"/>
      <c r="B6" s="593" t="s">
        <v>1176</v>
      </c>
      <c r="C6" s="594" t="s">
        <v>1182</v>
      </c>
      <c r="D6" s="595"/>
      <c r="E6" s="596"/>
      <c r="F6" s="597"/>
      <c r="G6" s="597"/>
      <c r="H6" s="597"/>
      <c r="I6" s="598" t="s">
        <v>1179</v>
      </c>
      <c r="J6" s="599">
        <v>45908.0</v>
      </c>
      <c r="K6" s="11"/>
      <c r="L6" s="11"/>
      <c r="M6" s="600">
        <f t="shared" si="1"/>
        <v>0</v>
      </c>
      <c r="N6" s="601"/>
      <c r="O6" s="602"/>
      <c r="P6" s="603"/>
      <c r="Q6" s="603"/>
      <c r="R6" s="600"/>
      <c r="S6" s="602"/>
      <c r="T6" s="604"/>
      <c r="U6" s="605"/>
      <c r="V6" s="606"/>
      <c r="W6" s="606"/>
    </row>
    <row r="7" ht="22.5" customHeight="1">
      <c r="A7" s="592"/>
      <c r="B7" s="593" t="s">
        <v>1176</v>
      </c>
      <c r="C7" s="594" t="s">
        <v>1183</v>
      </c>
      <c r="D7" s="595"/>
      <c r="E7" s="596"/>
      <c r="F7" s="597"/>
      <c r="G7" s="597"/>
      <c r="H7" s="597"/>
      <c r="I7" s="598" t="s">
        <v>1179</v>
      </c>
      <c r="J7" s="599">
        <v>45908.0</v>
      </c>
      <c r="K7" s="11"/>
      <c r="L7" s="11"/>
      <c r="M7" s="600">
        <f t="shared" si="1"/>
        <v>0</v>
      </c>
      <c r="N7" s="601"/>
      <c r="O7" s="602"/>
      <c r="P7" s="603"/>
      <c r="Q7" s="603"/>
      <c r="R7" s="600" t="str">
        <f t="array" ref="R7:R8">IFS(RISK_LOG[POST MITIGATION SCORE]=0,"",RISK_LOG[POST MITIGATION SCORE]&gt;=16,"CRITICAL",RISK_LOG[POST MITIGATION SCORE]&gt;=9,"HIGH",RISK_LOG[POST MITIGATION SCORE]&gt;=4,"MEDIUM",RISK_LOG[POST MITIGATION SCORE]&gt;=0,"LOW")</f>
        <v>#REF!</v>
      </c>
      <c r="S7" s="602"/>
      <c r="T7" s="604"/>
      <c r="U7" s="605"/>
      <c r="V7" s="606"/>
      <c r="W7" s="606"/>
    </row>
    <row r="8" ht="22.5" customHeight="1">
      <c r="A8" s="596"/>
      <c r="B8" s="593" t="s">
        <v>1176</v>
      </c>
      <c r="C8" s="594" t="s">
        <v>1184</v>
      </c>
      <c r="D8" s="608"/>
      <c r="E8" s="596"/>
      <c r="F8" s="597"/>
      <c r="G8" s="597"/>
      <c r="H8" s="597"/>
      <c r="I8" s="598" t="s">
        <v>1185</v>
      </c>
      <c r="J8" s="599">
        <v>45940.0</v>
      </c>
      <c r="K8" s="11">
        <v>4.0</v>
      </c>
      <c r="L8" s="11">
        <v>3.0</v>
      </c>
      <c r="M8" s="600">
        <f t="shared" si="1"/>
        <v>12</v>
      </c>
      <c r="N8" s="601"/>
      <c r="O8" s="602"/>
      <c r="P8" s="603"/>
      <c r="Q8" s="603"/>
      <c r="R8" s="600" t="str">
        <f t="array" ref="R8:R9">IFS(RISK_LOG[POST MITIGATION SCORE]=0,"",RISK_LOG[POST MITIGATION SCORE]&gt;=16,"CRITICAL",RISK_LOG[POST MITIGATION SCORE]&gt;=9,"HIGH",RISK_LOG[POST MITIGATION SCORE]&gt;=4,"MEDIUM",RISK_LOG[POST MITIGATION SCORE]&gt;=0,"LOW")</f>
        <v>#REF!</v>
      </c>
      <c r="S8" s="602"/>
      <c r="T8" s="604"/>
      <c r="U8" s="605"/>
      <c r="V8" s="606"/>
      <c r="W8" s="606"/>
    </row>
    <row r="9" ht="22.5" customHeight="1">
      <c r="A9" s="596"/>
      <c r="B9" s="593" t="s">
        <v>1176</v>
      </c>
      <c r="C9" s="594" t="s">
        <v>1186</v>
      </c>
      <c r="D9" s="608"/>
      <c r="E9" s="596"/>
      <c r="F9" s="597"/>
      <c r="G9" s="597"/>
      <c r="H9" s="597"/>
      <c r="I9" s="607"/>
      <c r="J9" s="599"/>
      <c r="K9" s="11">
        <v>4.0</v>
      </c>
      <c r="L9" s="11">
        <v>2.0</v>
      </c>
      <c r="M9" s="600">
        <f t="shared" si="1"/>
        <v>8</v>
      </c>
      <c r="N9" s="601"/>
      <c r="O9" s="602"/>
      <c r="P9" s="603"/>
      <c r="Q9" s="603"/>
      <c r="R9" s="600" t="str">
        <f t="array" ref="R9:R10">IFS(RISK_LOG[POST MITIGATION SCORE]=0,"",RISK_LOG[POST MITIGATION SCORE]&gt;=16,"CRITICAL",RISK_LOG[POST MITIGATION SCORE]&gt;=9,"HIGH",RISK_LOG[POST MITIGATION SCORE]&gt;=4,"MEDIUM",RISK_LOG[POST MITIGATION SCORE]&gt;=0,"LOW")</f>
        <v>#REF!</v>
      </c>
      <c r="S9" s="602"/>
      <c r="T9" s="604"/>
      <c r="U9" s="605"/>
      <c r="V9" s="606"/>
      <c r="W9" s="606"/>
    </row>
    <row r="10" ht="22.5" customHeight="1">
      <c r="A10" s="596"/>
      <c r="B10" s="593" t="s">
        <v>1176</v>
      </c>
      <c r="C10" s="594" t="s">
        <v>1187</v>
      </c>
      <c r="D10" s="608"/>
      <c r="E10" s="596"/>
      <c r="F10" s="597"/>
      <c r="G10" s="597"/>
      <c r="H10" s="597"/>
      <c r="I10" s="607"/>
      <c r="J10" s="599"/>
      <c r="K10" s="11">
        <v>4.0</v>
      </c>
      <c r="L10" s="11">
        <v>3.0</v>
      </c>
      <c r="M10" s="600">
        <f t="shared" si="1"/>
        <v>12</v>
      </c>
      <c r="N10" s="601"/>
      <c r="O10" s="602"/>
      <c r="P10" s="603"/>
      <c r="Q10" s="603"/>
      <c r="R10" s="600" t="str">
        <f t="array" ref="R10:R11">IFS(RISK_LOG[POST MITIGATION SCORE]=0,"",RISK_LOG[POST MITIGATION SCORE]&gt;=16,"CRITICAL",RISK_LOG[POST MITIGATION SCORE]&gt;=9,"HIGH",RISK_LOG[POST MITIGATION SCORE]&gt;=4,"MEDIUM",RISK_LOG[POST MITIGATION SCORE]&gt;=0,"LOW")</f>
        <v>#REF!</v>
      </c>
      <c r="S10" s="602"/>
      <c r="T10" s="604"/>
      <c r="U10" s="605"/>
      <c r="V10" s="606"/>
      <c r="W10" s="606"/>
    </row>
    <row r="11" ht="22.5" customHeight="1">
      <c r="A11" s="596"/>
      <c r="B11" s="593" t="s">
        <v>1176</v>
      </c>
      <c r="C11" s="594"/>
      <c r="D11" s="608"/>
      <c r="E11" s="596"/>
      <c r="F11" s="597"/>
      <c r="G11" s="597"/>
      <c r="H11" s="597"/>
      <c r="I11" s="607"/>
      <c r="J11" s="599"/>
      <c r="K11" s="603"/>
      <c r="L11" s="603"/>
      <c r="M11" s="600">
        <f t="shared" si="1"/>
        <v>0</v>
      </c>
      <c r="N11" s="601"/>
      <c r="O11" s="602"/>
      <c r="P11" s="603"/>
      <c r="Q11" s="603"/>
      <c r="R11" s="600" t="str">
        <f t="array" ref="R11:R12">IFS(RISK_LOG[POST MITIGATION SCORE]=0,"",RISK_LOG[POST MITIGATION SCORE]&gt;=16,"CRITICAL",RISK_LOG[POST MITIGATION SCORE]&gt;=9,"HIGH",RISK_LOG[POST MITIGATION SCORE]&gt;=4,"MEDIUM",RISK_LOG[POST MITIGATION SCORE]&gt;=0,"LOW")</f>
        <v>#REF!</v>
      </c>
      <c r="S11" s="602"/>
      <c r="T11" s="604"/>
      <c r="U11" s="605"/>
      <c r="V11" s="606"/>
      <c r="W11" s="606"/>
    </row>
    <row r="12" ht="22.5" customHeight="1">
      <c r="A12" s="596"/>
      <c r="B12" s="593" t="s">
        <v>1176</v>
      </c>
      <c r="C12" s="594" t="s">
        <v>1188</v>
      </c>
      <c r="D12" s="608"/>
      <c r="E12" s="596"/>
      <c r="F12" s="597"/>
      <c r="G12" s="597"/>
      <c r="H12" s="597"/>
      <c r="I12" s="607"/>
      <c r="J12" s="599"/>
      <c r="K12" s="603"/>
      <c r="L12" s="603"/>
      <c r="M12" s="600">
        <f t="shared" si="1"/>
        <v>0</v>
      </c>
      <c r="N12" s="601"/>
      <c r="O12" s="602"/>
      <c r="P12" s="603"/>
      <c r="Q12" s="603"/>
      <c r="R12" s="600" t="str">
        <f t="array" ref="R12:R13">IFS(RISK_LOG[POST MITIGATION SCORE]=0,"",RISK_LOG[POST MITIGATION SCORE]&gt;=16,"CRITICAL",RISK_LOG[POST MITIGATION SCORE]&gt;=9,"HIGH",RISK_LOG[POST MITIGATION SCORE]&gt;=4,"MEDIUM",RISK_LOG[POST MITIGATION SCORE]&gt;=0,"LOW")</f>
        <v>#REF!</v>
      </c>
      <c r="S12" s="602"/>
      <c r="T12" s="604"/>
      <c r="U12" s="605"/>
      <c r="V12" s="606"/>
      <c r="W12" s="606"/>
    </row>
    <row r="13" ht="22.5" customHeight="1">
      <c r="A13" s="596"/>
      <c r="B13" s="593" t="s">
        <v>1176</v>
      </c>
      <c r="C13" s="594" t="s">
        <v>1189</v>
      </c>
      <c r="D13" s="608"/>
      <c r="E13" s="596"/>
      <c r="F13" s="597"/>
      <c r="G13" s="597"/>
      <c r="H13" s="597"/>
      <c r="I13" s="607"/>
      <c r="J13" s="599"/>
      <c r="K13" s="603"/>
      <c r="L13" s="603"/>
      <c r="M13" s="600">
        <f t="shared" si="1"/>
        <v>0</v>
      </c>
      <c r="N13" s="601"/>
      <c r="O13" s="602"/>
      <c r="P13" s="603"/>
      <c r="Q13" s="603"/>
      <c r="R13" s="600" t="str">
        <f t="array" ref="R13:R14">IFS(RISK_LOG[POST MITIGATION SCORE]=0,"",RISK_LOG[POST MITIGATION SCORE]&gt;=16,"CRITICAL",RISK_LOG[POST MITIGATION SCORE]&gt;=9,"HIGH",RISK_LOG[POST MITIGATION SCORE]&gt;=4,"MEDIUM",RISK_LOG[POST MITIGATION SCORE]&gt;=0,"LOW")</f>
        <v>#REF!</v>
      </c>
      <c r="S13" s="602"/>
      <c r="T13" s="604"/>
      <c r="U13" s="605"/>
      <c r="V13" s="606"/>
      <c r="W13" s="606"/>
    </row>
    <row r="14" ht="22.5" customHeight="1">
      <c r="A14" s="596"/>
      <c r="B14" s="593" t="s">
        <v>1176</v>
      </c>
      <c r="C14" s="594" t="s">
        <v>1190</v>
      </c>
      <c r="D14" s="608"/>
      <c r="E14" s="596"/>
      <c r="F14" s="597"/>
      <c r="G14" s="597"/>
      <c r="H14" s="597"/>
      <c r="I14" s="607"/>
      <c r="J14" s="599"/>
      <c r="K14" s="603"/>
      <c r="L14" s="603"/>
      <c r="M14" s="600">
        <f t="shared" si="1"/>
        <v>0</v>
      </c>
      <c r="N14" s="601"/>
      <c r="O14" s="602"/>
      <c r="P14" s="603"/>
      <c r="Q14" s="603"/>
      <c r="R14" s="600" t="str">
        <f t="array" ref="R14:R15">IFS(RISK_LOG[POST MITIGATION SCORE]=0,"",RISK_LOG[POST MITIGATION SCORE]&gt;=16,"CRITICAL",RISK_LOG[POST MITIGATION SCORE]&gt;=9,"HIGH",RISK_LOG[POST MITIGATION SCORE]&gt;=4,"MEDIUM",RISK_LOG[POST MITIGATION SCORE]&gt;=0,"LOW")</f>
        <v>#REF!</v>
      </c>
      <c r="S14" s="602"/>
      <c r="T14" s="604"/>
      <c r="U14" s="605"/>
      <c r="V14" s="606"/>
      <c r="W14" s="606"/>
    </row>
    <row r="15" ht="22.5" customHeight="1">
      <c r="A15" s="596"/>
      <c r="B15" s="593" t="s">
        <v>1176</v>
      </c>
      <c r="C15" s="594"/>
      <c r="D15" s="608"/>
      <c r="E15" s="596"/>
      <c r="F15" s="597"/>
      <c r="G15" s="597"/>
      <c r="H15" s="597"/>
      <c r="I15" s="607"/>
      <c r="J15" s="599"/>
      <c r="K15" s="603"/>
      <c r="L15" s="603"/>
      <c r="M15" s="600">
        <f t="shared" si="1"/>
        <v>0</v>
      </c>
      <c r="N15" s="601"/>
      <c r="O15" s="602"/>
      <c r="P15" s="603"/>
      <c r="Q15" s="603"/>
      <c r="R15" s="600" t="str">
        <f t="array" ref="R15:R16">IFS(RISK_LOG[POST MITIGATION SCORE]=0,"",RISK_LOG[POST MITIGATION SCORE]&gt;=16,"CRITICAL",RISK_LOG[POST MITIGATION SCORE]&gt;=9,"HIGH",RISK_LOG[POST MITIGATION SCORE]&gt;=4,"MEDIUM",RISK_LOG[POST MITIGATION SCORE]&gt;=0,"LOW")</f>
        <v>#REF!</v>
      </c>
      <c r="S15" s="602"/>
      <c r="T15" s="604"/>
      <c r="U15" s="605"/>
      <c r="V15" s="606"/>
      <c r="W15" s="606"/>
    </row>
    <row r="16" ht="22.5" customHeight="1">
      <c r="A16" s="596"/>
      <c r="B16" s="593" t="s">
        <v>1176</v>
      </c>
      <c r="C16" s="594"/>
      <c r="D16" s="608"/>
      <c r="E16" s="596"/>
      <c r="F16" s="597"/>
      <c r="G16" s="597"/>
      <c r="H16" s="597"/>
      <c r="I16" s="607"/>
      <c r="J16" s="599"/>
      <c r="K16" s="603"/>
      <c r="L16" s="603"/>
      <c r="M16" s="600">
        <f t="shared" si="1"/>
        <v>0</v>
      </c>
      <c r="N16" s="601"/>
      <c r="O16" s="602"/>
      <c r="P16" s="603"/>
      <c r="Q16" s="603"/>
      <c r="R16" s="600" t="str">
        <f t="array" ref="R16:R17">IFS(RISK_LOG[POST MITIGATION SCORE]=0,"",RISK_LOG[POST MITIGATION SCORE]&gt;=16,"CRITICAL",RISK_LOG[POST MITIGATION SCORE]&gt;=9,"HIGH",RISK_LOG[POST MITIGATION SCORE]&gt;=4,"MEDIUM",RISK_LOG[POST MITIGATION SCORE]&gt;=0,"LOW")</f>
        <v>#REF!</v>
      </c>
      <c r="S16" s="602"/>
      <c r="T16" s="604"/>
      <c r="U16" s="605"/>
      <c r="V16" s="606"/>
      <c r="W16" s="606"/>
    </row>
    <row r="17" ht="22.5" customHeight="1">
      <c r="A17" s="596"/>
      <c r="B17" s="593" t="s">
        <v>1176</v>
      </c>
      <c r="C17" s="594"/>
      <c r="D17" s="608"/>
      <c r="E17" s="596"/>
      <c r="F17" s="597"/>
      <c r="G17" s="597"/>
      <c r="H17" s="597"/>
      <c r="I17" s="607"/>
      <c r="J17" s="599"/>
      <c r="K17" s="603"/>
      <c r="L17" s="603"/>
      <c r="M17" s="600">
        <f t="shared" si="1"/>
        <v>0</v>
      </c>
      <c r="N17" s="601"/>
      <c r="O17" s="602"/>
      <c r="P17" s="603"/>
      <c r="Q17" s="603"/>
      <c r="R17" s="600" t="str">
        <f t="array" ref="R17:R18">IFS(RISK_LOG[POST MITIGATION SCORE]=0,"",RISK_LOG[POST MITIGATION SCORE]&gt;=16,"CRITICAL",RISK_LOG[POST MITIGATION SCORE]&gt;=9,"HIGH",RISK_LOG[POST MITIGATION SCORE]&gt;=4,"MEDIUM",RISK_LOG[POST MITIGATION SCORE]&gt;=0,"LOW")</f>
        <v>#REF!</v>
      </c>
      <c r="S17" s="602"/>
      <c r="T17" s="604"/>
      <c r="U17" s="605"/>
      <c r="V17" s="606"/>
      <c r="W17" s="606"/>
    </row>
    <row r="18" ht="22.5" customHeight="1">
      <c r="A18" s="596"/>
      <c r="B18" s="593" t="s">
        <v>1176</v>
      </c>
      <c r="C18" s="594"/>
      <c r="D18" s="608"/>
      <c r="E18" s="596"/>
      <c r="F18" s="597"/>
      <c r="G18" s="597"/>
      <c r="H18" s="597"/>
      <c r="I18" s="607"/>
      <c r="J18" s="599"/>
      <c r="K18" s="603"/>
      <c r="L18" s="603"/>
      <c r="M18" s="600">
        <f t="shared" si="1"/>
        <v>0</v>
      </c>
      <c r="N18" s="601"/>
      <c r="O18" s="602"/>
      <c r="P18" s="603"/>
      <c r="Q18" s="603"/>
      <c r="R18" s="600" t="str">
        <f t="array" ref="R18:R19">IFS(RISK_LOG[POST MITIGATION SCORE]=0,"",RISK_LOG[POST MITIGATION SCORE]&gt;=16,"CRITICAL",RISK_LOG[POST MITIGATION SCORE]&gt;=9,"HIGH",RISK_LOG[POST MITIGATION SCORE]&gt;=4,"MEDIUM",RISK_LOG[POST MITIGATION SCORE]&gt;=0,"LOW")</f>
        <v>#REF!</v>
      </c>
      <c r="S18" s="602"/>
      <c r="T18" s="604"/>
      <c r="U18" s="605"/>
      <c r="V18" s="606"/>
      <c r="W18" s="606"/>
    </row>
    <row r="19" ht="22.5" customHeight="1">
      <c r="A19" s="596"/>
      <c r="B19" s="593" t="s">
        <v>1176</v>
      </c>
      <c r="C19" s="594"/>
      <c r="D19" s="608"/>
      <c r="E19" s="596"/>
      <c r="F19" s="597"/>
      <c r="G19" s="597"/>
      <c r="H19" s="597"/>
      <c r="I19" s="607"/>
      <c r="J19" s="599"/>
      <c r="K19" s="603"/>
      <c r="L19" s="603"/>
      <c r="M19" s="600">
        <f t="shared" si="1"/>
        <v>0</v>
      </c>
      <c r="N19" s="601"/>
      <c r="O19" s="602"/>
      <c r="P19" s="603"/>
      <c r="Q19" s="603"/>
      <c r="R19" s="600" t="str">
        <f t="array" ref="R19:R20">IFS(RISK_LOG[POST MITIGATION SCORE]=0,"",RISK_LOG[POST MITIGATION SCORE]&gt;=16,"CRITICAL",RISK_LOG[POST MITIGATION SCORE]&gt;=9,"HIGH",RISK_LOG[POST MITIGATION SCORE]&gt;=4,"MEDIUM",RISK_LOG[POST MITIGATION SCORE]&gt;=0,"LOW")</f>
        <v>#REF!</v>
      </c>
      <c r="S19" s="602"/>
      <c r="T19" s="604"/>
      <c r="U19" s="605"/>
      <c r="V19" s="606"/>
      <c r="W19" s="606"/>
    </row>
    <row r="20" ht="22.5" customHeight="1">
      <c r="A20" s="596"/>
      <c r="B20" s="593" t="s">
        <v>1176</v>
      </c>
      <c r="C20" s="594"/>
      <c r="D20" s="608"/>
      <c r="E20" s="596"/>
      <c r="F20" s="597"/>
      <c r="G20" s="597"/>
      <c r="H20" s="597"/>
      <c r="I20" s="607"/>
      <c r="J20" s="599"/>
      <c r="K20" s="603"/>
      <c r="L20" s="603"/>
      <c r="M20" s="600">
        <f t="shared" si="1"/>
        <v>0</v>
      </c>
      <c r="N20" s="601"/>
      <c r="O20" s="602"/>
      <c r="P20" s="603"/>
      <c r="Q20" s="603"/>
      <c r="R20" s="600" t="str">
        <f t="array" ref="R20:R21">IFS(RISK_LOG[POST MITIGATION SCORE]=0,"",RISK_LOG[POST MITIGATION SCORE]&gt;=16,"CRITICAL",RISK_LOG[POST MITIGATION SCORE]&gt;=9,"HIGH",RISK_LOG[POST MITIGATION SCORE]&gt;=4,"MEDIUM",RISK_LOG[POST MITIGATION SCORE]&gt;=0,"LOW")</f>
        <v>#REF!</v>
      </c>
      <c r="S20" s="602"/>
      <c r="T20" s="604"/>
      <c r="U20" s="605"/>
      <c r="V20" s="606"/>
      <c r="W20" s="606"/>
    </row>
    <row r="21" ht="45.0" customHeight="1">
      <c r="A21" s="609" t="s">
        <v>1191</v>
      </c>
      <c r="B21" s="593" t="s">
        <v>1192</v>
      </c>
      <c r="C21" s="594" t="s">
        <v>1193</v>
      </c>
      <c r="D21" s="608" t="s">
        <v>1194</v>
      </c>
      <c r="E21" s="596"/>
      <c r="F21" s="597"/>
      <c r="G21" s="597"/>
      <c r="H21" s="597"/>
      <c r="I21" s="607"/>
      <c r="J21" s="599"/>
      <c r="K21" s="603"/>
      <c r="L21" s="603"/>
      <c r="M21" s="600">
        <f t="shared" si="1"/>
        <v>0</v>
      </c>
      <c r="N21" s="601"/>
      <c r="O21" s="602"/>
      <c r="P21" s="603"/>
      <c r="Q21" s="603"/>
      <c r="R21" s="600" t="str">
        <f t="array" ref="R21:R22">IFS(RISK_LOG[POST MITIGATION SCORE]=0,"",RISK_LOG[POST MITIGATION SCORE]&gt;=16,"CRITICAL",RISK_LOG[POST MITIGATION SCORE]&gt;=9,"HIGH",RISK_LOG[POST MITIGATION SCORE]&gt;=4,"MEDIUM",RISK_LOG[POST MITIGATION SCORE]&gt;=0,"LOW")</f>
        <v>#REF!</v>
      </c>
      <c r="S21" s="602"/>
      <c r="T21" s="604"/>
      <c r="U21" s="605"/>
      <c r="V21" s="606"/>
      <c r="W21" s="606"/>
    </row>
    <row r="22" ht="45.0" customHeight="1">
      <c r="A22" s="593" t="s">
        <v>1195</v>
      </c>
      <c r="B22" s="593" t="s">
        <v>1176</v>
      </c>
      <c r="C22" s="594"/>
      <c r="D22" s="608"/>
      <c r="E22" s="596"/>
      <c r="F22" s="597"/>
      <c r="G22" s="597"/>
      <c r="H22" s="597"/>
      <c r="I22" s="607"/>
      <c r="J22" s="599"/>
      <c r="K22" s="603"/>
      <c r="L22" s="603"/>
      <c r="M22" s="600">
        <f t="shared" si="1"/>
        <v>0</v>
      </c>
      <c r="N22" s="601"/>
      <c r="O22" s="602"/>
      <c r="P22" s="603"/>
      <c r="Q22" s="603"/>
      <c r="R22" s="600" t="str">
        <f t="array" ref="R22:R23">IFS(RISK_LOG[POST MITIGATION SCORE]=0,"",RISK_LOG[POST MITIGATION SCORE]&gt;=16,"CRITICAL",RISK_LOG[POST MITIGATION SCORE]&gt;=9,"HIGH",RISK_LOG[POST MITIGATION SCORE]&gt;=4,"MEDIUM",RISK_LOG[POST MITIGATION SCORE]&gt;=0,"LOW")</f>
        <v>#REF!</v>
      </c>
      <c r="S22" s="602"/>
      <c r="T22" s="604"/>
      <c r="U22" s="605"/>
      <c r="V22" s="606"/>
      <c r="W22" s="606"/>
    </row>
    <row r="23" ht="45.0" customHeight="1">
      <c r="A23" s="593" t="s">
        <v>1195</v>
      </c>
      <c r="B23" s="593" t="s">
        <v>1176</v>
      </c>
      <c r="C23" s="594"/>
      <c r="D23" s="608"/>
      <c r="E23" s="596"/>
      <c r="F23" s="597"/>
      <c r="G23" s="597"/>
      <c r="H23" s="597"/>
      <c r="I23" s="607"/>
      <c r="J23" s="599"/>
      <c r="K23" s="603"/>
      <c r="L23" s="603"/>
      <c r="M23" s="600">
        <f t="shared" si="1"/>
        <v>0</v>
      </c>
      <c r="N23" s="601"/>
      <c r="O23" s="602"/>
      <c r="P23" s="603"/>
      <c r="Q23" s="603"/>
      <c r="R23" s="600" t="str">
        <f t="array" ref="R23:R24">IFS(RISK_LOG[POST MITIGATION SCORE]=0,"",RISK_LOG[POST MITIGATION SCORE]&gt;=16,"CRITICAL",RISK_LOG[POST MITIGATION SCORE]&gt;=9,"HIGH",RISK_LOG[POST MITIGATION SCORE]&gt;=4,"MEDIUM",RISK_LOG[POST MITIGATION SCORE]&gt;=0,"LOW")</f>
        <v>#REF!</v>
      </c>
      <c r="S23" s="602"/>
      <c r="T23" s="604"/>
      <c r="U23" s="605"/>
      <c r="V23" s="606"/>
      <c r="W23" s="606"/>
    </row>
    <row r="24" ht="45.0" customHeight="1">
      <c r="A24" s="609" t="s">
        <v>1191</v>
      </c>
      <c r="B24" s="593" t="s">
        <v>1196</v>
      </c>
      <c r="C24" s="594" t="s">
        <v>1197</v>
      </c>
      <c r="D24" s="608"/>
      <c r="E24" s="596"/>
      <c r="F24" s="597"/>
      <c r="G24" s="597"/>
      <c r="H24" s="597"/>
      <c r="I24" s="607"/>
      <c r="J24" s="599"/>
      <c r="K24" s="603"/>
      <c r="L24" s="603"/>
      <c r="M24" s="600">
        <f t="shared" si="1"/>
        <v>0</v>
      </c>
      <c r="N24" s="601"/>
      <c r="O24" s="602"/>
      <c r="P24" s="603"/>
      <c r="Q24" s="603"/>
      <c r="R24" s="600" t="str">
        <f t="array" ref="R24:R25">IFS(RISK_LOG[POST MITIGATION SCORE]=0,"",RISK_LOG[POST MITIGATION SCORE]&gt;=16,"CRITICAL",RISK_LOG[POST MITIGATION SCORE]&gt;=9,"HIGH",RISK_LOG[POST MITIGATION SCORE]&gt;=4,"MEDIUM",RISK_LOG[POST MITIGATION SCORE]&gt;=0,"LOW")</f>
        <v>#REF!</v>
      </c>
      <c r="S24" s="602"/>
      <c r="T24" s="604"/>
      <c r="U24" s="605"/>
      <c r="V24" s="606"/>
      <c r="W24" s="606"/>
    </row>
    <row r="25" ht="45.0" customHeight="1">
      <c r="A25" s="593" t="s">
        <v>1195</v>
      </c>
      <c r="B25" s="593" t="s">
        <v>1176</v>
      </c>
      <c r="C25" s="594"/>
      <c r="D25" s="608"/>
      <c r="E25" s="596"/>
      <c r="F25" s="597"/>
      <c r="G25" s="597"/>
      <c r="H25" s="597"/>
      <c r="I25" s="607"/>
      <c r="J25" s="599"/>
      <c r="K25" s="603"/>
      <c r="L25" s="603"/>
      <c r="M25" s="600">
        <f t="shared" si="1"/>
        <v>0</v>
      </c>
      <c r="N25" s="601"/>
      <c r="O25" s="602"/>
      <c r="P25" s="603"/>
      <c r="Q25" s="603"/>
      <c r="R25" s="600" t="str">
        <f t="array" ref="R25:R26">IFS(RISK_LOG[POST MITIGATION SCORE]=0,"",RISK_LOG[POST MITIGATION SCORE]&gt;=16,"CRITICAL",RISK_LOG[POST MITIGATION SCORE]&gt;=9,"HIGH",RISK_LOG[POST MITIGATION SCORE]&gt;=4,"MEDIUM",RISK_LOG[POST MITIGATION SCORE]&gt;=0,"LOW")</f>
        <v>#REF!</v>
      </c>
      <c r="S25" s="602"/>
      <c r="T25" s="604"/>
      <c r="U25" s="605"/>
      <c r="V25" s="606"/>
      <c r="W25" s="606"/>
    </row>
    <row r="26" ht="45.0" customHeight="1">
      <c r="A26" s="593" t="s">
        <v>1195</v>
      </c>
      <c r="B26" s="593" t="s">
        <v>1176</v>
      </c>
      <c r="C26" s="594"/>
      <c r="D26" s="608"/>
      <c r="E26" s="596"/>
      <c r="F26" s="597"/>
      <c r="G26" s="597"/>
      <c r="H26" s="597"/>
      <c r="I26" s="607"/>
      <c r="J26" s="599"/>
      <c r="K26" s="603"/>
      <c r="L26" s="603"/>
      <c r="M26" s="600">
        <f t="shared" si="1"/>
        <v>0</v>
      </c>
      <c r="N26" s="601"/>
      <c r="O26" s="602"/>
      <c r="P26" s="603"/>
      <c r="Q26" s="603"/>
      <c r="R26" s="600" t="str">
        <f t="array" ref="R26:R27">IFS(RISK_LOG[POST MITIGATION SCORE]=0,"",RISK_LOG[POST MITIGATION SCORE]&gt;=16,"CRITICAL",RISK_LOG[POST MITIGATION SCORE]&gt;=9,"HIGH",RISK_LOG[POST MITIGATION SCORE]&gt;=4,"MEDIUM",RISK_LOG[POST MITIGATION SCORE]&gt;=0,"LOW")</f>
        <v>#REF!</v>
      </c>
      <c r="S26" s="602"/>
      <c r="T26" s="604"/>
      <c r="U26" s="605"/>
      <c r="V26" s="606"/>
      <c r="W26" s="606"/>
    </row>
    <row r="27" ht="45.0" customHeight="1">
      <c r="A27" s="593" t="s">
        <v>1191</v>
      </c>
      <c r="B27" s="593" t="s">
        <v>1196</v>
      </c>
      <c r="C27" s="594" t="s">
        <v>1198</v>
      </c>
      <c r="D27" s="608" t="s">
        <v>1199</v>
      </c>
      <c r="E27" s="592"/>
      <c r="F27" s="610"/>
      <c r="G27" s="610">
        <v>46112.0</v>
      </c>
      <c r="H27" s="610"/>
      <c r="I27" s="607"/>
      <c r="J27" s="599"/>
      <c r="K27" s="603"/>
      <c r="L27" s="603"/>
      <c r="M27" s="600">
        <f t="shared" si="1"/>
        <v>0</v>
      </c>
      <c r="N27" s="601"/>
      <c r="O27" s="602"/>
      <c r="P27" s="603"/>
      <c r="Q27" s="603"/>
      <c r="R27" s="600" t="str">
        <f t="array" ref="R27:R28">IFS(RISK_LOG[POST MITIGATION SCORE]=0,"",RISK_LOG[POST MITIGATION SCORE]&gt;=16,"CRITICAL",RISK_LOG[POST MITIGATION SCORE]&gt;=9,"HIGH",RISK_LOG[POST MITIGATION SCORE]&gt;=4,"MEDIUM",RISK_LOG[POST MITIGATION SCORE]&gt;=0,"LOW")</f>
        <v>#REF!</v>
      </c>
      <c r="S27" s="602"/>
      <c r="T27" s="604"/>
      <c r="U27" s="605"/>
      <c r="V27" s="606"/>
      <c r="W27" s="606"/>
    </row>
    <row r="28" ht="45.0" customHeight="1">
      <c r="A28" s="609" t="s">
        <v>1191</v>
      </c>
      <c r="B28" s="593" t="s">
        <v>1192</v>
      </c>
      <c r="C28" s="594" t="s">
        <v>1200</v>
      </c>
      <c r="D28" s="608" t="s">
        <v>1201</v>
      </c>
      <c r="E28" s="592"/>
      <c r="F28" s="610"/>
      <c r="G28" s="610">
        <v>46112.0</v>
      </c>
      <c r="H28" s="610"/>
      <c r="I28" s="607"/>
      <c r="J28" s="599"/>
      <c r="K28" s="603"/>
      <c r="L28" s="603"/>
      <c r="M28" s="600">
        <f t="shared" si="1"/>
        <v>0</v>
      </c>
      <c r="N28" s="601"/>
      <c r="O28" s="602"/>
      <c r="P28" s="603"/>
      <c r="Q28" s="603"/>
      <c r="R28" s="600" t="str">
        <f t="array" ref="R28:R29">IFS(RISK_LOG[POST MITIGATION SCORE]=0,"",RISK_LOG[POST MITIGATION SCORE]&gt;=16,"CRITICAL",RISK_LOG[POST MITIGATION SCORE]&gt;=9,"HIGH",RISK_LOG[POST MITIGATION SCORE]&gt;=4,"MEDIUM",RISK_LOG[POST MITIGATION SCORE]&gt;=0,"LOW")</f>
        <v>#REF!</v>
      </c>
      <c r="S28" s="602"/>
      <c r="T28" s="604"/>
      <c r="U28" s="605"/>
      <c r="V28" s="606"/>
      <c r="W28" s="606"/>
    </row>
    <row r="29" ht="45.0" customHeight="1">
      <c r="A29" s="609" t="s">
        <v>1191</v>
      </c>
      <c r="B29" s="593" t="s">
        <v>1196</v>
      </c>
      <c r="C29" s="594" t="s">
        <v>1202</v>
      </c>
      <c r="D29" s="608" t="s">
        <v>1203</v>
      </c>
      <c r="E29" s="592"/>
      <c r="F29" s="610"/>
      <c r="G29" s="610">
        <v>46203.0</v>
      </c>
      <c r="H29" s="610"/>
      <c r="I29" s="607"/>
      <c r="J29" s="599"/>
      <c r="K29" s="603"/>
      <c r="L29" s="603"/>
      <c r="M29" s="600">
        <f t="shared" si="1"/>
        <v>0</v>
      </c>
      <c r="N29" s="601"/>
      <c r="O29" s="602"/>
      <c r="P29" s="603"/>
      <c r="Q29" s="603"/>
      <c r="R29" s="600" t="str">
        <f t="array" ref="R29:R30">IFS(RISK_LOG[POST MITIGATION SCORE]=0,"",RISK_LOG[POST MITIGATION SCORE]&gt;=16,"CRITICAL",RISK_LOG[POST MITIGATION SCORE]&gt;=9,"HIGH",RISK_LOG[POST MITIGATION SCORE]&gt;=4,"MEDIUM",RISK_LOG[POST MITIGATION SCORE]&gt;=0,"LOW")</f>
        <v>#REF!</v>
      </c>
      <c r="S29" s="602"/>
      <c r="T29" s="604"/>
      <c r="U29" s="605"/>
      <c r="V29" s="606"/>
      <c r="W29" s="606"/>
    </row>
    <row r="30" ht="45.0" customHeight="1">
      <c r="A30" s="609" t="s">
        <v>1191</v>
      </c>
      <c r="B30" s="593" t="s">
        <v>1192</v>
      </c>
      <c r="C30" s="594" t="s">
        <v>1204</v>
      </c>
      <c r="D30" s="608" t="s">
        <v>1205</v>
      </c>
      <c r="E30" s="592"/>
      <c r="F30" s="610"/>
      <c r="G30" s="610">
        <v>46295.0</v>
      </c>
      <c r="H30" s="610"/>
      <c r="I30" s="607"/>
      <c r="J30" s="599"/>
      <c r="K30" s="603"/>
      <c r="L30" s="603"/>
      <c r="M30" s="600">
        <f t="shared" si="1"/>
        <v>0</v>
      </c>
      <c r="N30" s="601"/>
      <c r="O30" s="602"/>
      <c r="P30" s="603"/>
      <c r="Q30" s="603"/>
      <c r="R30" s="600" t="str">
        <f t="array" ref="R30:R31">IFS(RISK_LOG[POST MITIGATION SCORE]=0,"",RISK_LOG[POST MITIGATION SCORE]&gt;=16,"CRITICAL",RISK_LOG[POST MITIGATION SCORE]&gt;=9,"HIGH",RISK_LOG[POST MITIGATION SCORE]&gt;=4,"MEDIUM",RISK_LOG[POST MITIGATION SCORE]&gt;=0,"LOW")</f>
        <v>#REF!</v>
      </c>
      <c r="S30" s="602"/>
      <c r="T30" s="604"/>
      <c r="U30" s="605"/>
      <c r="V30" s="606"/>
      <c r="W30" s="606"/>
    </row>
    <row r="31" ht="45.0" customHeight="1">
      <c r="A31" s="609" t="s">
        <v>1191</v>
      </c>
      <c r="B31" s="593" t="s">
        <v>1196</v>
      </c>
      <c r="C31" s="594" t="s">
        <v>1206</v>
      </c>
      <c r="D31" s="608" t="s">
        <v>1207</v>
      </c>
      <c r="E31" s="592"/>
      <c r="F31" s="610"/>
      <c r="G31" s="610">
        <v>46752.0</v>
      </c>
      <c r="H31" s="610"/>
      <c r="I31" s="607"/>
      <c r="J31" s="599"/>
      <c r="K31" s="603"/>
      <c r="L31" s="603"/>
      <c r="M31" s="600">
        <f t="shared" si="1"/>
        <v>0</v>
      </c>
      <c r="N31" s="601"/>
      <c r="O31" s="602"/>
      <c r="P31" s="603"/>
      <c r="Q31" s="603"/>
      <c r="R31" s="600" t="str">
        <f t="array" ref="R31:R32">IFS(RISK_LOG[POST MITIGATION SCORE]=0,"",RISK_LOG[POST MITIGATION SCORE]&gt;=16,"CRITICAL",RISK_LOG[POST MITIGATION SCORE]&gt;=9,"HIGH",RISK_LOG[POST MITIGATION SCORE]&gt;=4,"MEDIUM",RISK_LOG[POST MITIGATION SCORE]&gt;=0,"LOW")</f>
        <v>#REF!</v>
      </c>
      <c r="S31" s="602"/>
      <c r="T31" s="604"/>
      <c r="U31" s="605"/>
      <c r="V31" s="606"/>
      <c r="W31" s="606"/>
    </row>
    <row r="32" ht="45.0" customHeight="1" collapsed="1">
      <c r="A32" s="593" t="s">
        <v>1195</v>
      </c>
      <c r="B32" s="593" t="s">
        <v>1208</v>
      </c>
      <c r="C32" s="594" t="s">
        <v>1209</v>
      </c>
      <c r="D32" s="608" t="s">
        <v>1210</v>
      </c>
      <c r="E32" s="596"/>
      <c r="F32" s="597"/>
      <c r="G32" s="597"/>
      <c r="H32" s="597"/>
      <c r="I32" s="607"/>
      <c r="J32" s="599"/>
      <c r="K32" s="603"/>
      <c r="L32" s="603"/>
      <c r="M32" s="600">
        <f t="shared" si="1"/>
        <v>0</v>
      </c>
      <c r="N32" s="601"/>
      <c r="O32" s="602"/>
      <c r="P32" s="603"/>
      <c r="Q32" s="603"/>
      <c r="R32" s="600" t="str">
        <f t="array" ref="R32:R33">IFS(RISK_LOG[POST MITIGATION SCORE]=0,"",RISK_LOG[POST MITIGATION SCORE]&gt;=16,"CRITICAL",RISK_LOG[POST MITIGATION SCORE]&gt;=9,"HIGH",RISK_LOG[POST MITIGATION SCORE]&gt;=4,"MEDIUM",RISK_LOG[POST MITIGATION SCORE]&gt;=0,"LOW")</f>
        <v>#REF!</v>
      </c>
      <c r="S32" s="602"/>
      <c r="T32" s="604"/>
      <c r="U32" s="605"/>
      <c r="V32" s="606"/>
      <c r="W32" s="606"/>
    </row>
    <row r="33" ht="45.0" hidden="1" customHeight="1" outlineLevel="1">
      <c r="A33" s="593" t="s">
        <v>1211</v>
      </c>
      <c r="B33" s="593" t="s">
        <v>1212</v>
      </c>
      <c r="C33" s="594" t="s">
        <v>1213</v>
      </c>
      <c r="D33" s="608"/>
      <c r="E33" s="596"/>
      <c r="F33" s="597"/>
      <c r="G33" s="597"/>
      <c r="H33" s="597"/>
      <c r="I33" s="607"/>
      <c r="J33" s="599"/>
      <c r="K33" s="603"/>
      <c r="L33" s="603"/>
      <c r="M33" s="600">
        <f t="shared" si="1"/>
        <v>0</v>
      </c>
      <c r="N33" s="601"/>
      <c r="O33" s="602"/>
      <c r="P33" s="603"/>
      <c r="Q33" s="603"/>
      <c r="R33" s="600" t="str">
        <f t="array" ref="R33:R34">IFS(RISK_LOG[POST MITIGATION SCORE]=0,"",RISK_LOG[POST MITIGATION SCORE]&gt;=16,"CRITICAL",RISK_LOG[POST MITIGATION SCORE]&gt;=9,"HIGH",RISK_LOG[POST MITIGATION SCORE]&gt;=4,"MEDIUM",RISK_LOG[POST MITIGATION SCORE]&gt;=0,"LOW")</f>
        <v>#REF!</v>
      </c>
      <c r="S33" s="602"/>
      <c r="T33" s="604"/>
      <c r="U33" s="605"/>
      <c r="V33" s="606"/>
      <c r="W33" s="606"/>
    </row>
    <row r="34" ht="45.0" hidden="1" customHeight="1" outlineLevel="1">
      <c r="A34" s="609" t="s">
        <v>1211</v>
      </c>
      <c r="B34" s="593" t="s">
        <v>1214</v>
      </c>
      <c r="C34" s="594" t="s">
        <v>1215</v>
      </c>
      <c r="D34" s="608" t="s">
        <v>1216</v>
      </c>
      <c r="E34" s="596"/>
      <c r="F34" s="597"/>
      <c r="G34" s="597"/>
      <c r="H34" s="597"/>
      <c r="I34" s="607"/>
      <c r="J34" s="599"/>
      <c r="K34" s="603"/>
      <c r="L34" s="603"/>
      <c r="M34" s="600">
        <f t="shared" si="1"/>
        <v>0</v>
      </c>
      <c r="N34" s="601"/>
      <c r="O34" s="602"/>
      <c r="P34" s="603"/>
      <c r="Q34" s="603"/>
      <c r="R34" s="600" t="str">
        <f t="array" ref="R34:R35">IFS(RISK_LOG[POST MITIGATION SCORE]=0,"",RISK_LOG[POST MITIGATION SCORE]&gt;=16,"CRITICAL",RISK_LOG[POST MITIGATION SCORE]&gt;=9,"HIGH",RISK_LOG[POST MITIGATION SCORE]&gt;=4,"MEDIUM",RISK_LOG[POST MITIGATION SCORE]&gt;=0,"LOW")</f>
        <v>#REF!</v>
      </c>
      <c r="S34" s="602"/>
      <c r="T34" s="604"/>
      <c r="U34" s="605"/>
      <c r="V34" s="606"/>
      <c r="W34" s="606"/>
    </row>
    <row r="35" ht="45.0" hidden="1" customHeight="1" outlineLevel="1">
      <c r="A35" s="593" t="s">
        <v>1211</v>
      </c>
      <c r="B35" s="593" t="s">
        <v>1214</v>
      </c>
      <c r="C35" s="594" t="s">
        <v>1217</v>
      </c>
      <c r="D35" s="608"/>
      <c r="E35" s="596"/>
      <c r="F35" s="597"/>
      <c r="G35" s="597"/>
      <c r="H35" s="597"/>
      <c r="I35" s="607"/>
      <c r="J35" s="599"/>
      <c r="K35" s="603"/>
      <c r="L35" s="603"/>
      <c r="M35" s="600">
        <f t="shared" si="1"/>
        <v>0</v>
      </c>
      <c r="N35" s="601"/>
      <c r="O35" s="602"/>
      <c r="P35" s="603"/>
      <c r="Q35" s="603"/>
      <c r="R35" s="600" t="str">
        <f t="array" ref="R35:R36">IFS(RISK_LOG[POST MITIGATION SCORE]=0,"",RISK_LOG[POST MITIGATION SCORE]&gt;=16,"CRITICAL",RISK_LOG[POST MITIGATION SCORE]&gt;=9,"HIGH",RISK_LOG[POST MITIGATION SCORE]&gt;=4,"MEDIUM",RISK_LOG[POST MITIGATION SCORE]&gt;=0,"LOW")</f>
        <v>#REF!</v>
      </c>
      <c r="S35" s="602"/>
      <c r="T35" s="604"/>
      <c r="U35" s="605"/>
      <c r="V35" s="606"/>
      <c r="W35" s="606"/>
    </row>
    <row r="36" ht="45.0" hidden="1" customHeight="1" outlineLevel="1">
      <c r="A36" s="593" t="s">
        <v>1211</v>
      </c>
      <c r="B36" s="593" t="s">
        <v>1214</v>
      </c>
      <c r="C36" s="594" t="s">
        <v>1218</v>
      </c>
      <c r="D36" s="608"/>
      <c r="E36" s="596"/>
      <c r="F36" s="597"/>
      <c r="G36" s="597"/>
      <c r="H36" s="597"/>
      <c r="I36" s="607"/>
      <c r="J36" s="599"/>
      <c r="K36" s="603"/>
      <c r="L36" s="603"/>
      <c r="M36" s="600">
        <f t="shared" si="1"/>
        <v>0</v>
      </c>
      <c r="N36" s="601"/>
      <c r="O36" s="602"/>
      <c r="P36" s="603"/>
      <c r="Q36" s="603"/>
      <c r="R36" s="600" t="str">
        <f t="array" ref="R36:R37">IFS(RISK_LOG[POST MITIGATION SCORE]=0,"",RISK_LOG[POST MITIGATION SCORE]&gt;=16,"CRITICAL",RISK_LOG[POST MITIGATION SCORE]&gt;=9,"HIGH",RISK_LOG[POST MITIGATION SCORE]&gt;=4,"MEDIUM",RISK_LOG[POST MITIGATION SCORE]&gt;=0,"LOW")</f>
        <v>#REF!</v>
      </c>
      <c r="S36" s="602"/>
      <c r="T36" s="604"/>
      <c r="U36" s="605"/>
      <c r="V36" s="606"/>
      <c r="W36" s="606"/>
    </row>
    <row r="37" ht="45.0" hidden="1" customHeight="1" outlineLevel="1">
      <c r="A37" s="593" t="s">
        <v>1211</v>
      </c>
      <c r="B37" s="593" t="s">
        <v>1214</v>
      </c>
      <c r="C37" s="594" t="s">
        <v>1219</v>
      </c>
      <c r="D37" s="608" t="s">
        <v>1220</v>
      </c>
      <c r="E37" s="596"/>
      <c r="F37" s="597"/>
      <c r="G37" s="597"/>
      <c r="H37" s="597"/>
      <c r="I37" s="607"/>
      <c r="J37" s="599"/>
      <c r="K37" s="603"/>
      <c r="L37" s="603"/>
      <c r="M37" s="600">
        <f t="shared" si="1"/>
        <v>0</v>
      </c>
      <c r="N37" s="601"/>
      <c r="O37" s="602"/>
      <c r="P37" s="603"/>
      <c r="Q37" s="603"/>
      <c r="R37" s="600" t="str">
        <f t="array" ref="R37:R38">IFS(RISK_LOG[POST MITIGATION SCORE]=0,"",RISK_LOG[POST MITIGATION SCORE]&gt;=16,"CRITICAL",RISK_LOG[POST MITIGATION SCORE]&gt;=9,"HIGH",RISK_LOG[POST MITIGATION SCORE]&gt;=4,"MEDIUM",RISK_LOG[POST MITIGATION SCORE]&gt;=0,"LOW")</f>
        <v>#REF!</v>
      </c>
      <c r="S37" s="602"/>
      <c r="T37" s="604"/>
      <c r="U37" s="605"/>
      <c r="V37" s="606"/>
      <c r="W37" s="606"/>
    </row>
    <row r="38" ht="45.0" hidden="1" customHeight="1" outlineLevel="1">
      <c r="A38" s="593" t="s">
        <v>1211</v>
      </c>
      <c r="B38" s="593" t="s">
        <v>1214</v>
      </c>
      <c r="C38" s="594" t="s">
        <v>1221</v>
      </c>
      <c r="D38" s="608" t="s">
        <v>1222</v>
      </c>
      <c r="E38" s="596"/>
      <c r="F38" s="597"/>
      <c r="G38" s="597"/>
      <c r="H38" s="597"/>
      <c r="I38" s="607"/>
      <c r="J38" s="599"/>
      <c r="K38" s="603"/>
      <c r="L38" s="603"/>
      <c r="M38" s="600">
        <f t="shared" si="1"/>
        <v>0</v>
      </c>
      <c r="N38" s="601"/>
      <c r="O38" s="602"/>
      <c r="P38" s="603"/>
      <c r="Q38" s="603"/>
      <c r="R38" s="600" t="str">
        <f t="array" ref="R38:R39">IFS(RISK_LOG[POST MITIGATION SCORE]=0,"",RISK_LOG[POST MITIGATION SCORE]&gt;=16,"CRITICAL",RISK_LOG[POST MITIGATION SCORE]&gt;=9,"HIGH",RISK_LOG[POST MITIGATION SCORE]&gt;=4,"MEDIUM",RISK_LOG[POST MITIGATION SCORE]&gt;=0,"LOW")</f>
        <v>#REF!</v>
      </c>
      <c r="S38" s="602"/>
      <c r="T38" s="604"/>
      <c r="U38" s="605"/>
      <c r="V38" s="606"/>
      <c r="W38" s="606"/>
    </row>
    <row r="39" ht="45.0" customHeight="1" collapsed="1">
      <c r="A39" s="593" t="s">
        <v>1195</v>
      </c>
      <c r="B39" s="593" t="s">
        <v>1223</v>
      </c>
      <c r="C39" s="594" t="s">
        <v>1224</v>
      </c>
      <c r="D39" s="608" t="s">
        <v>1225</v>
      </c>
      <c r="E39" s="596"/>
      <c r="F39" s="597"/>
      <c r="G39" s="597"/>
      <c r="H39" s="597"/>
      <c r="I39" s="607"/>
      <c r="J39" s="599"/>
      <c r="K39" s="603"/>
      <c r="L39" s="603"/>
      <c r="M39" s="600">
        <f t="shared" si="1"/>
        <v>0</v>
      </c>
      <c r="N39" s="601"/>
      <c r="O39" s="602"/>
      <c r="P39" s="603"/>
      <c r="Q39" s="603"/>
      <c r="R39" s="600" t="str">
        <f t="array" ref="R39:R40">IFS(RISK_LOG[POST MITIGATION SCORE]=0,"",RISK_LOG[POST MITIGATION SCORE]&gt;=16,"CRITICAL",RISK_LOG[POST MITIGATION SCORE]&gt;=9,"HIGH",RISK_LOG[POST MITIGATION SCORE]&gt;=4,"MEDIUM",RISK_LOG[POST MITIGATION SCORE]&gt;=0,"LOW")</f>
        <v>#REF!</v>
      </c>
      <c r="S39" s="602"/>
      <c r="T39" s="604"/>
      <c r="U39" s="605"/>
      <c r="V39" s="606"/>
      <c r="W39" s="606"/>
    </row>
    <row r="40" ht="45.0" hidden="1" customHeight="1" outlineLevel="1">
      <c r="A40" s="593" t="s">
        <v>1211</v>
      </c>
      <c r="B40" s="593" t="s">
        <v>1214</v>
      </c>
      <c r="C40" s="594" t="s">
        <v>1226</v>
      </c>
      <c r="D40" s="608" t="s">
        <v>1227</v>
      </c>
      <c r="E40" s="592"/>
      <c r="F40" s="610">
        <v>46748.0</v>
      </c>
      <c r="G40" s="610">
        <v>46752.0</v>
      </c>
      <c r="H40" s="610"/>
      <c r="I40" s="607"/>
      <c r="J40" s="599"/>
      <c r="K40" s="603"/>
      <c r="L40" s="603"/>
      <c r="M40" s="600">
        <f t="shared" si="1"/>
        <v>0</v>
      </c>
      <c r="N40" s="601"/>
      <c r="O40" s="602"/>
      <c r="P40" s="603"/>
      <c r="Q40" s="603"/>
      <c r="R40" s="600" t="str">
        <f t="array" ref="R40:R41">IFS(RISK_LOG[POST MITIGATION SCORE]=0,"",RISK_LOG[POST MITIGATION SCORE]&gt;=16,"CRITICAL",RISK_LOG[POST MITIGATION SCORE]&gt;=9,"HIGH",RISK_LOG[POST MITIGATION SCORE]&gt;=4,"MEDIUM",RISK_LOG[POST MITIGATION SCORE]&gt;=0,"LOW")</f>
        <v>#REF!</v>
      </c>
      <c r="S40" s="602"/>
      <c r="T40" s="604"/>
      <c r="U40" s="605"/>
      <c r="V40" s="606"/>
      <c r="W40" s="606"/>
    </row>
    <row r="41" ht="45.0" hidden="1" customHeight="1" outlineLevel="1">
      <c r="A41" s="593" t="s">
        <v>1211</v>
      </c>
      <c r="B41" s="593" t="s">
        <v>1214</v>
      </c>
      <c r="C41" s="594" t="s">
        <v>1228</v>
      </c>
      <c r="D41" s="608"/>
      <c r="E41" s="592"/>
      <c r="F41" s="610"/>
      <c r="G41" s="610"/>
      <c r="H41" s="610"/>
      <c r="I41" s="607"/>
      <c r="J41" s="599"/>
      <c r="K41" s="603"/>
      <c r="L41" s="603"/>
      <c r="M41" s="600">
        <f t="shared" si="1"/>
        <v>0</v>
      </c>
      <c r="N41" s="601"/>
      <c r="O41" s="602"/>
      <c r="P41" s="603"/>
      <c r="Q41" s="603"/>
      <c r="R41" s="600" t="str">
        <f t="array" ref="R41:R42">IFS(RISK_LOG[POST MITIGATION SCORE]=0,"",RISK_LOG[POST MITIGATION SCORE]&gt;=16,"CRITICAL",RISK_LOG[POST MITIGATION SCORE]&gt;=9,"HIGH",RISK_LOG[POST MITIGATION SCORE]&gt;=4,"MEDIUM",RISK_LOG[POST MITIGATION SCORE]&gt;=0,"LOW")</f>
        <v>#REF!</v>
      </c>
      <c r="S41" s="602"/>
      <c r="T41" s="604"/>
      <c r="U41" s="605"/>
      <c r="V41" s="606"/>
      <c r="W41" s="606"/>
    </row>
    <row r="42" ht="45.0" hidden="1" customHeight="1" outlineLevel="1">
      <c r="A42" s="593" t="s">
        <v>1211</v>
      </c>
      <c r="B42" s="593" t="s">
        <v>1214</v>
      </c>
      <c r="C42" s="594" t="s">
        <v>1229</v>
      </c>
      <c r="D42" s="608"/>
      <c r="E42" s="592"/>
      <c r="F42" s="610"/>
      <c r="G42" s="610"/>
      <c r="H42" s="610"/>
      <c r="I42" s="607"/>
      <c r="J42" s="599"/>
      <c r="K42" s="603"/>
      <c r="L42" s="603"/>
      <c r="M42" s="600">
        <f t="shared" si="1"/>
        <v>0</v>
      </c>
      <c r="N42" s="601"/>
      <c r="O42" s="602"/>
      <c r="P42" s="603"/>
      <c r="Q42" s="603"/>
      <c r="R42" s="600" t="str">
        <f t="array" ref="R42:R43">IFS(RISK_LOG[POST MITIGATION SCORE]=0,"",RISK_LOG[POST MITIGATION SCORE]&gt;=16,"CRITICAL",RISK_LOG[POST MITIGATION SCORE]&gt;=9,"HIGH",RISK_LOG[POST MITIGATION SCORE]&gt;=4,"MEDIUM",RISK_LOG[POST MITIGATION SCORE]&gt;=0,"LOW")</f>
        <v>#REF!</v>
      </c>
      <c r="S42" s="602"/>
      <c r="T42" s="604"/>
      <c r="U42" s="605"/>
      <c r="V42" s="606"/>
      <c r="W42" s="606"/>
    </row>
    <row r="43" ht="45.0" customHeight="1" collapsed="1">
      <c r="A43" s="593" t="s">
        <v>1195</v>
      </c>
      <c r="B43" s="593" t="s">
        <v>1208</v>
      </c>
      <c r="C43" s="594" t="s">
        <v>1230</v>
      </c>
      <c r="D43" s="608" t="s">
        <v>1231</v>
      </c>
      <c r="E43" s="596"/>
      <c r="F43" s="597"/>
      <c r="G43" s="597"/>
      <c r="H43" s="597"/>
      <c r="I43" s="607"/>
      <c r="J43" s="599"/>
      <c r="K43" s="603"/>
      <c r="L43" s="603"/>
      <c r="M43" s="600">
        <f t="shared" si="1"/>
        <v>0</v>
      </c>
      <c r="N43" s="601"/>
      <c r="O43" s="602"/>
      <c r="P43" s="603"/>
      <c r="Q43" s="603"/>
      <c r="R43" s="600" t="str">
        <f t="array" ref="R43:R44">IFS(RISK_LOG[POST MITIGATION SCORE]=0,"",RISK_LOG[POST MITIGATION SCORE]&gt;=16,"CRITICAL",RISK_LOG[POST MITIGATION SCORE]&gt;=9,"HIGH",RISK_LOG[POST MITIGATION SCORE]&gt;=4,"MEDIUM",RISK_LOG[POST MITIGATION SCORE]&gt;=0,"LOW")</f>
        <v>#REF!</v>
      </c>
      <c r="S43" s="602"/>
      <c r="T43" s="604"/>
      <c r="U43" s="605"/>
      <c r="V43" s="606"/>
      <c r="W43" s="606"/>
    </row>
    <row r="44" ht="45.0" hidden="1" customHeight="1" outlineLevel="1">
      <c r="A44" s="593" t="s">
        <v>1211</v>
      </c>
      <c r="B44" s="593" t="s">
        <v>1212</v>
      </c>
      <c r="C44" s="594" t="s">
        <v>1232</v>
      </c>
      <c r="D44" s="608" t="s">
        <v>1233</v>
      </c>
      <c r="E44" s="596"/>
      <c r="F44" s="597"/>
      <c r="G44" s="597"/>
      <c r="H44" s="597"/>
      <c r="I44" s="607"/>
      <c r="J44" s="599"/>
      <c r="K44" s="603"/>
      <c r="L44" s="603"/>
      <c r="M44" s="600">
        <f t="shared" si="1"/>
        <v>0</v>
      </c>
      <c r="N44" s="601"/>
      <c r="O44" s="602"/>
      <c r="P44" s="603"/>
      <c r="Q44" s="603"/>
      <c r="R44" s="600" t="str">
        <f t="array" ref="R44:R45">IFS(RISK_LOG[POST MITIGATION SCORE]=0,"",RISK_LOG[POST MITIGATION SCORE]&gt;=16,"CRITICAL",RISK_LOG[POST MITIGATION SCORE]&gt;=9,"HIGH",RISK_LOG[POST MITIGATION SCORE]&gt;=4,"MEDIUM",RISK_LOG[POST MITIGATION SCORE]&gt;=0,"LOW")</f>
        <v>#REF!</v>
      </c>
      <c r="S44" s="602"/>
      <c r="T44" s="604"/>
      <c r="U44" s="605"/>
      <c r="V44" s="606"/>
      <c r="W44" s="606"/>
    </row>
    <row r="45" ht="45.0" hidden="1" customHeight="1" outlineLevel="1">
      <c r="A45" s="593" t="s">
        <v>1211</v>
      </c>
      <c r="B45" s="593" t="s">
        <v>1212</v>
      </c>
      <c r="C45" s="594" t="s">
        <v>1234</v>
      </c>
      <c r="D45" s="608"/>
      <c r="E45" s="596"/>
      <c r="F45" s="597"/>
      <c r="G45" s="597"/>
      <c r="H45" s="597"/>
      <c r="I45" s="607"/>
      <c r="J45" s="599"/>
      <c r="K45" s="603"/>
      <c r="L45" s="603"/>
      <c r="M45" s="600">
        <f t="shared" si="1"/>
        <v>0</v>
      </c>
      <c r="N45" s="601"/>
      <c r="O45" s="602"/>
      <c r="P45" s="603"/>
      <c r="Q45" s="603"/>
      <c r="R45" s="600" t="str">
        <f t="array" ref="R45:R46">IFS(RISK_LOG[POST MITIGATION SCORE]=0,"",RISK_LOG[POST MITIGATION SCORE]&gt;=16,"CRITICAL",RISK_LOG[POST MITIGATION SCORE]&gt;=9,"HIGH",RISK_LOG[POST MITIGATION SCORE]&gt;=4,"MEDIUM",RISK_LOG[POST MITIGATION SCORE]&gt;=0,"LOW")</f>
        <v>#REF!</v>
      </c>
      <c r="S45" s="602"/>
      <c r="T45" s="604"/>
      <c r="U45" s="605"/>
      <c r="V45" s="606"/>
      <c r="W45" s="606"/>
    </row>
    <row r="46" ht="45.0" hidden="1" customHeight="1" outlineLevel="1">
      <c r="A46" s="593" t="s">
        <v>1211</v>
      </c>
      <c r="B46" s="593" t="s">
        <v>1214</v>
      </c>
      <c r="C46" s="594" t="s">
        <v>1235</v>
      </c>
      <c r="D46" s="608"/>
      <c r="E46" s="596"/>
      <c r="F46" s="597"/>
      <c r="G46" s="597"/>
      <c r="H46" s="597"/>
      <c r="I46" s="607"/>
      <c r="J46" s="599"/>
      <c r="K46" s="603"/>
      <c r="L46" s="603"/>
      <c r="M46" s="600">
        <f t="shared" si="1"/>
        <v>0</v>
      </c>
      <c r="N46" s="601"/>
      <c r="O46" s="602"/>
      <c r="P46" s="603"/>
      <c r="Q46" s="603"/>
      <c r="R46" s="600" t="str">
        <f t="array" ref="R46:R47">IFS(RISK_LOG[POST MITIGATION SCORE]=0,"",RISK_LOG[POST MITIGATION SCORE]&gt;=16,"CRITICAL",RISK_LOG[POST MITIGATION SCORE]&gt;=9,"HIGH",RISK_LOG[POST MITIGATION SCORE]&gt;=4,"MEDIUM",RISK_LOG[POST MITIGATION SCORE]&gt;=0,"LOW")</f>
        <v>#REF!</v>
      </c>
      <c r="S46" s="602"/>
      <c r="T46" s="604"/>
      <c r="U46" s="605"/>
      <c r="V46" s="606"/>
      <c r="W46" s="606"/>
    </row>
    <row r="47" ht="45.0" hidden="1" customHeight="1" outlineLevel="1">
      <c r="A47" s="593" t="s">
        <v>1211</v>
      </c>
      <c r="B47" s="593" t="s">
        <v>1214</v>
      </c>
      <c r="C47" s="594" t="s">
        <v>1236</v>
      </c>
      <c r="D47" s="608"/>
      <c r="E47" s="596"/>
      <c r="F47" s="597"/>
      <c r="G47" s="597"/>
      <c r="H47" s="597"/>
      <c r="I47" s="607"/>
      <c r="J47" s="599"/>
      <c r="K47" s="603"/>
      <c r="L47" s="603"/>
      <c r="M47" s="600">
        <f t="shared" si="1"/>
        <v>0</v>
      </c>
      <c r="N47" s="601"/>
      <c r="O47" s="602"/>
      <c r="P47" s="603"/>
      <c r="Q47" s="603"/>
      <c r="R47" s="600" t="str">
        <f t="array" ref="R47:R48">IFS(RISK_LOG[POST MITIGATION SCORE]=0,"",RISK_LOG[POST MITIGATION SCORE]&gt;=16,"CRITICAL",RISK_LOG[POST MITIGATION SCORE]&gt;=9,"HIGH",RISK_LOG[POST MITIGATION SCORE]&gt;=4,"MEDIUM",RISK_LOG[POST MITIGATION SCORE]&gt;=0,"LOW")</f>
        <v>#REF!</v>
      </c>
      <c r="S47" s="602"/>
      <c r="T47" s="604"/>
      <c r="U47" s="605"/>
      <c r="V47" s="606"/>
      <c r="W47" s="606"/>
    </row>
    <row r="48" ht="45.0" customHeight="1" collapsed="1">
      <c r="A48" s="593" t="s">
        <v>1195</v>
      </c>
      <c r="B48" s="593" t="s">
        <v>1208</v>
      </c>
      <c r="C48" s="594" t="s">
        <v>1237</v>
      </c>
      <c r="D48" s="608"/>
      <c r="E48" s="596"/>
      <c r="F48" s="597"/>
      <c r="G48" s="597"/>
      <c r="H48" s="597"/>
      <c r="I48" s="607"/>
      <c r="J48" s="599"/>
      <c r="K48" s="603"/>
      <c r="L48" s="603"/>
      <c r="M48" s="600">
        <f t="shared" si="1"/>
        <v>0</v>
      </c>
      <c r="N48" s="601"/>
      <c r="O48" s="602"/>
      <c r="P48" s="603"/>
      <c r="Q48" s="603"/>
      <c r="R48" s="600" t="str">
        <f t="array" ref="R48:R49">IFS(RISK_LOG[POST MITIGATION SCORE]=0,"",RISK_LOG[POST MITIGATION SCORE]&gt;=16,"CRITICAL",RISK_LOG[POST MITIGATION SCORE]&gt;=9,"HIGH",RISK_LOG[POST MITIGATION SCORE]&gt;=4,"MEDIUM",RISK_LOG[POST MITIGATION SCORE]&gt;=0,"LOW")</f>
        <v>#REF!</v>
      </c>
      <c r="S48" s="602"/>
      <c r="T48" s="604"/>
      <c r="U48" s="605"/>
      <c r="V48" s="606"/>
      <c r="W48" s="606"/>
    </row>
    <row r="49" ht="45.0" hidden="1" customHeight="1" outlineLevel="1">
      <c r="A49" s="593" t="s">
        <v>1211</v>
      </c>
      <c r="B49" s="593" t="s">
        <v>1214</v>
      </c>
      <c r="C49" s="594" t="s">
        <v>1238</v>
      </c>
      <c r="D49" s="608"/>
      <c r="E49" s="596"/>
      <c r="F49" s="597"/>
      <c r="G49" s="597"/>
      <c r="H49" s="597"/>
      <c r="I49" s="607"/>
      <c r="J49" s="599"/>
      <c r="K49" s="603"/>
      <c r="L49" s="603"/>
      <c r="M49" s="600">
        <f t="shared" si="1"/>
        <v>0</v>
      </c>
      <c r="N49" s="601"/>
      <c r="O49" s="602"/>
      <c r="P49" s="603"/>
      <c r="Q49" s="603"/>
      <c r="R49" s="600" t="str">
        <f t="array" ref="R49:R50">IFS(RISK_LOG[POST MITIGATION SCORE]=0,"",RISK_LOG[POST MITIGATION SCORE]&gt;=16,"CRITICAL",RISK_LOG[POST MITIGATION SCORE]&gt;=9,"HIGH",RISK_LOG[POST MITIGATION SCORE]&gt;=4,"MEDIUM",RISK_LOG[POST MITIGATION SCORE]&gt;=0,"LOW")</f>
        <v>#REF!</v>
      </c>
      <c r="S49" s="602"/>
      <c r="T49" s="604"/>
      <c r="U49" s="605"/>
      <c r="V49" s="606"/>
      <c r="W49" s="606"/>
    </row>
    <row r="50" ht="45.0" hidden="1" customHeight="1" outlineLevel="1">
      <c r="A50" s="593" t="s">
        <v>1211</v>
      </c>
      <c r="B50" s="593" t="s">
        <v>1214</v>
      </c>
      <c r="C50" s="594" t="str">
        <f>"Implement direct perception of lane/corridor boundaries (same issue above in cell "&amp;ADDRESS(ROW(C41),COLUMN(C41))&amp;" )"</f>
        <v>Implement direct perception of lane/corridor boundaries (same issue above in cell $C$41 )</v>
      </c>
      <c r="D50" s="608"/>
      <c r="E50" s="596"/>
      <c r="F50" s="597"/>
      <c r="G50" s="597"/>
      <c r="H50" s="597"/>
      <c r="I50" s="607"/>
      <c r="J50" s="599"/>
      <c r="K50" s="603"/>
      <c r="L50" s="603"/>
      <c r="M50" s="600">
        <f t="shared" si="1"/>
        <v>0</v>
      </c>
      <c r="N50" s="601"/>
      <c r="O50" s="602"/>
      <c r="P50" s="603"/>
      <c r="Q50" s="603"/>
      <c r="R50" s="600" t="str">
        <f t="array" ref="R50:R51">IFS(RISK_LOG[POST MITIGATION SCORE]=0,"",RISK_LOG[POST MITIGATION SCORE]&gt;=16,"CRITICAL",RISK_LOG[POST MITIGATION SCORE]&gt;=9,"HIGH",RISK_LOG[POST MITIGATION SCORE]&gt;=4,"MEDIUM",RISK_LOG[POST MITIGATION SCORE]&gt;=0,"LOW")</f>
        <v>#REF!</v>
      </c>
      <c r="S50" s="602"/>
      <c r="T50" s="604"/>
      <c r="U50" s="605"/>
      <c r="V50" s="606"/>
      <c r="W50" s="606"/>
    </row>
    <row r="51" ht="45.0" customHeight="1" collapsed="1">
      <c r="A51" s="593" t="s">
        <v>1195</v>
      </c>
      <c r="B51" s="593" t="s">
        <v>1208</v>
      </c>
      <c r="C51" s="594" t="s">
        <v>1239</v>
      </c>
      <c r="D51" s="608"/>
      <c r="E51" s="596"/>
      <c r="F51" s="597"/>
      <c r="G51" s="597"/>
      <c r="H51" s="597"/>
      <c r="I51" s="607"/>
      <c r="J51" s="599"/>
      <c r="K51" s="603"/>
      <c r="L51" s="603"/>
      <c r="M51" s="600">
        <f t="shared" si="1"/>
        <v>0</v>
      </c>
      <c r="N51" s="601"/>
      <c r="O51" s="602"/>
      <c r="P51" s="603"/>
      <c r="Q51" s="603"/>
      <c r="R51" s="600" t="str">
        <f t="array" ref="R51:R52">IFS(RISK_LOG[POST MITIGATION SCORE]=0,"",RISK_LOG[POST MITIGATION SCORE]&gt;=16,"CRITICAL",RISK_LOG[POST MITIGATION SCORE]&gt;=9,"HIGH",RISK_LOG[POST MITIGATION SCORE]&gt;=4,"MEDIUM",RISK_LOG[POST MITIGATION SCORE]&gt;=0,"LOW")</f>
        <v>#REF!</v>
      </c>
      <c r="S51" s="602"/>
      <c r="T51" s="604"/>
      <c r="U51" s="605"/>
      <c r="V51" s="606"/>
      <c r="W51" s="606"/>
    </row>
    <row r="52" ht="45.0" hidden="1" customHeight="1" outlineLevel="1">
      <c r="A52" s="593" t="s">
        <v>1211</v>
      </c>
      <c r="B52" s="593" t="s">
        <v>1214</v>
      </c>
      <c r="C52" s="594" t="s">
        <v>1240</v>
      </c>
      <c r="D52" s="608" t="s">
        <v>1241</v>
      </c>
      <c r="E52" s="596"/>
      <c r="F52" s="597"/>
      <c r="G52" s="597"/>
      <c r="H52" s="597"/>
      <c r="I52" s="607"/>
      <c r="J52" s="599"/>
      <c r="K52" s="603"/>
      <c r="L52" s="603"/>
      <c r="M52" s="600">
        <f t="shared" si="1"/>
        <v>0</v>
      </c>
      <c r="N52" s="601"/>
      <c r="O52" s="602"/>
      <c r="P52" s="603"/>
      <c r="Q52" s="603"/>
      <c r="R52" s="600" t="str">
        <f t="array" ref="R52:R53">IFS(RISK_LOG[POST MITIGATION SCORE]=0,"",RISK_LOG[POST MITIGATION SCORE]&gt;=16,"CRITICAL",RISK_LOG[POST MITIGATION SCORE]&gt;=9,"HIGH",RISK_LOG[POST MITIGATION SCORE]&gt;=4,"MEDIUM",RISK_LOG[POST MITIGATION SCORE]&gt;=0,"LOW")</f>
        <v>#REF!</v>
      </c>
      <c r="S52" s="602"/>
      <c r="T52" s="604"/>
      <c r="U52" s="605"/>
      <c r="V52" s="606"/>
      <c r="W52" s="606"/>
    </row>
    <row r="53" ht="45.0" hidden="1" customHeight="1" outlineLevel="1">
      <c r="A53" s="593" t="s">
        <v>1211</v>
      </c>
      <c r="B53" s="593" t="s">
        <v>1214</v>
      </c>
      <c r="C53" s="594" t="s">
        <v>1242</v>
      </c>
      <c r="D53" s="608"/>
      <c r="E53" s="596"/>
      <c r="F53" s="597"/>
      <c r="G53" s="597"/>
      <c r="H53" s="597"/>
      <c r="I53" s="607"/>
      <c r="J53" s="599"/>
      <c r="K53" s="603"/>
      <c r="L53" s="603"/>
      <c r="M53" s="600">
        <f t="shared" si="1"/>
        <v>0</v>
      </c>
      <c r="N53" s="601"/>
      <c r="O53" s="602"/>
      <c r="P53" s="603"/>
      <c r="Q53" s="603"/>
      <c r="R53" s="600" t="str">
        <f t="array" ref="R53:R54">IFS(RISK_LOG[POST MITIGATION SCORE]=0,"",RISK_LOG[POST MITIGATION SCORE]&gt;=16,"CRITICAL",RISK_LOG[POST MITIGATION SCORE]&gt;=9,"HIGH",RISK_LOG[POST MITIGATION SCORE]&gt;=4,"MEDIUM",RISK_LOG[POST MITIGATION SCORE]&gt;=0,"LOW")</f>
        <v>#REF!</v>
      </c>
      <c r="S53" s="602"/>
      <c r="T53" s="604"/>
      <c r="U53" s="605"/>
      <c r="V53" s="606"/>
      <c r="W53" s="606"/>
    </row>
    <row r="54" ht="45.0" hidden="1" customHeight="1" outlineLevel="1">
      <c r="A54" s="593" t="s">
        <v>1211</v>
      </c>
      <c r="B54" s="593" t="s">
        <v>1214</v>
      </c>
      <c r="C54" s="594" t="s">
        <v>1243</v>
      </c>
      <c r="D54" s="608"/>
      <c r="E54" s="596"/>
      <c r="F54" s="597"/>
      <c r="G54" s="597"/>
      <c r="H54" s="597"/>
      <c r="I54" s="607"/>
      <c r="J54" s="599"/>
      <c r="K54" s="603"/>
      <c r="L54" s="603"/>
      <c r="M54" s="600">
        <f t="shared" si="1"/>
        <v>0</v>
      </c>
      <c r="N54" s="601"/>
      <c r="O54" s="602"/>
      <c r="P54" s="603"/>
      <c r="Q54" s="603"/>
      <c r="R54" s="600" t="str">
        <f t="array" ref="R54:R55">IFS(RISK_LOG[POST MITIGATION SCORE]=0,"",RISK_LOG[POST MITIGATION SCORE]&gt;=16,"CRITICAL",RISK_LOG[POST MITIGATION SCORE]&gt;=9,"HIGH",RISK_LOG[POST MITIGATION SCORE]&gt;=4,"MEDIUM",RISK_LOG[POST MITIGATION SCORE]&gt;=0,"LOW")</f>
        <v>#REF!</v>
      </c>
      <c r="S54" s="602"/>
      <c r="T54" s="604"/>
      <c r="U54" s="605"/>
      <c r="V54" s="606"/>
      <c r="W54" s="606"/>
    </row>
    <row r="55" ht="45.0" hidden="1" customHeight="1" outlineLevel="1">
      <c r="A55" s="593" t="s">
        <v>1211</v>
      </c>
      <c r="B55" s="593" t="s">
        <v>1214</v>
      </c>
      <c r="C55" s="594" t="s">
        <v>1244</v>
      </c>
      <c r="D55" s="608"/>
      <c r="E55" s="596"/>
      <c r="F55" s="597"/>
      <c r="G55" s="597"/>
      <c r="H55" s="597"/>
      <c r="I55" s="607"/>
      <c r="J55" s="599"/>
      <c r="K55" s="603"/>
      <c r="L55" s="603"/>
      <c r="M55" s="600">
        <f t="shared" si="1"/>
        <v>0</v>
      </c>
      <c r="N55" s="601"/>
      <c r="O55" s="602"/>
      <c r="P55" s="603"/>
      <c r="Q55" s="603"/>
      <c r="R55" s="600" t="str">
        <f t="array" ref="R55:R56">IFS(RISK_LOG[POST MITIGATION SCORE]=0,"",RISK_LOG[POST MITIGATION SCORE]&gt;=16,"CRITICAL",RISK_LOG[POST MITIGATION SCORE]&gt;=9,"HIGH",RISK_LOG[POST MITIGATION SCORE]&gt;=4,"MEDIUM",RISK_LOG[POST MITIGATION SCORE]&gt;=0,"LOW")</f>
        <v>#REF!</v>
      </c>
      <c r="S55" s="602"/>
      <c r="T55" s="604"/>
      <c r="U55" s="605"/>
      <c r="V55" s="606"/>
      <c r="W55" s="606"/>
    </row>
    <row r="56" ht="45.0" customHeight="1" collapsed="1">
      <c r="A56" s="593" t="s">
        <v>1195</v>
      </c>
      <c r="B56" s="593" t="s">
        <v>1208</v>
      </c>
      <c r="C56" s="594" t="s">
        <v>1245</v>
      </c>
      <c r="D56" s="608"/>
      <c r="E56" s="596"/>
      <c r="F56" s="597"/>
      <c r="G56" s="597"/>
      <c r="H56" s="597"/>
      <c r="I56" s="607"/>
      <c r="J56" s="599"/>
      <c r="K56" s="603"/>
      <c r="L56" s="603"/>
      <c r="M56" s="600">
        <f t="shared" si="1"/>
        <v>0</v>
      </c>
      <c r="N56" s="601"/>
      <c r="O56" s="602"/>
      <c r="P56" s="603"/>
      <c r="Q56" s="603"/>
      <c r="R56" s="600" t="str">
        <f t="array" ref="R56:R57">IFS(RISK_LOG[POST MITIGATION SCORE]=0,"",RISK_LOG[POST MITIGATION SCORE]&gt;=16,"CRITICAL",RISK_LOG[POST MITIGATION SCORE]&gt;=9,"HIGH",RISK_LOG[POST MITIGATION SCORE]&gt;=4,"MEDIUM",RISK_LOG[POST MITIGATION SCORE]&gt;=0,"LOW")</f>
        <v>#REF!</v>
      </c>
      <c r="S56" s="602"/>
      <c r="T56" s="604"/>
      <c r="U56" s="605"/>
      <c r="V56" s="606"/>
      <c r="W56" s="606"/>
    </row>
    <row r="57" ht="45.0" hidden="1" customHeight="1" outlineLevel="1">
      <c r="A57" s="593" t="s">
        <v>1211</v>
      </c>
      <c r="B57" s="593" t="s">
        <v>1214</v>
      </c>
      <c r="C57" s="594" t="s">
        <v>1246</v>
      </c>
      <c r="D57" s="611" t="s">
        <v>1247</v>
      </c>
      <c r="E57" s="596"/>
      <c r="F57" s="597"/>
      <c r="G57" s="597"/>
      <c r="H57" s="597"/>
      <c r="I57" s="607"/>
      <c r="J57" s="599"/>
      <c r="K57" s="603"/>
      <c r="L57" s="603"/>
      <c r="M57" s="600">
        <f t="shared" si="1"/>
        <v>0</v>
      </c>
      <c r="N57" s="601"/>
      <c r="O57" s="602"/>
      <c r="P57" s="603"/>
      <c r="Q57" s="603"/>
      <c r="R57" s="600" t="str">
        <f t="array" ref="R57:R58">IFS(RISK_LOG[POST MITIGATION SCORE]=0,"",RISK_LOG[POST MITIGATION SCORE]&gt;=16,"CRITICAL",RISK_LOG[POST MITIGATION SCORE]&gt;=9,"HIGH",RISK_LOG[POST MITIGATION SCORE]&gt;=4,"MEDIUM",RISK_LOG[POST MITIGATION SCORE]&gt;=0,"LOW")</f>
        <v>#REF!</v>
      </c>
      <c r="S57" s="602"/>
      <c r="T57" s="604"/>
      <c r="U57" s="605"/>
      <c r="V57" s="606"/>
      <c r="W57" s="606"/>
    </row>
    <row r="58" ht="45.0" hidden="1" customHeight="1" outlineLevel="1">
      <c r="A58" s="593" t="s">
        <v>1211</v>
      </c>
      <c r="B58" s="593" t="s">
        <v>1214</v>
      </c>
      <c r="C58" s="594" t="s">
        <v>1248</v>
      </c>
      <c r="D58" s="608"/>
      <c r="E58" s="596"/>
      <c r="F58" s="597"/>
      <c r="G58" s="597"/>
      <c r="H58" s="597"/>
      <c r="I58" s="607"/>
      <c r="J58" s="599"/>
      <c r="K58" s="603"/>
      <c r="L58" s="603"/>
      <c r="M58" s="600">
        <f t="shared" si="1"/>
        <v>0</v>
      </c>
      <c r="N58" s="601"/>
      <c r="O58" s="602"/>
      <c r="P58" s="603"/>
      <c r="Q58" s="603"/>
      <c r="R58" s="600" t="str">
        <f t="array" ref="R58:R59">IFS(RISK_LOG[POST MITIGATION SCORE]=0,"",RISK_LOG[POST MITIGATION SCORE]&gt;=16,"CRITICAL",RISK_LOG[POST MITIGATION SCORE]&gt;=9,"HIGH",RISK_LOG[POST MITIGATION SCORE]&gt;=4,"MEDIUM",RISK_LOG[POST MITIGATION SCORE]&gt;=0,"LOW")</f>
        <v>#REF!</v>
      </c>
      <c r="S58" s="602"/>
      <c r="T58" s="604"/>
      <c r="U58" s="605"/>
      <c r="V58" s="606"/>
      <c r="W58" s="606"/>
    </row>
    <row r="59" ht="45.0" hidden="1" customHeight="1" outlineLevel="1">
      <c r="A59" s="593" t="s">
        <v>1211</v>
      </c>
      <c r="B59" s="593" t="s">
        <v>1214</v>
      </c>
      <c r="C59" s="594" t="s">
        <v>1249</v>
      </c>
      <c r="D59" s="608"/>
      <c r="E59" s="596"/>
      <c r="F59" s="597"/>
      <c r="G59" s="597"/>
      <c r="H59" s="597"/>
      <c r="I59" s="607"/>
      <c r="J59" s="599"/>
      <c r="K59" s="603"/>
      <c r="L59" s="603"/>
      <c r="M59" s="600">
        <f t="shared" si="1"/>
        <v>0</v>
      </c>
      <c r="N59" s="601"/>
      <c r="O59" s="602"/>
      <c r="P59" s="603"/>
      <c r="Q59" s="603"/>
      <c r="R59" s="600" t="str">
        <f t="array" ref="R59:R60">IFS(RISK_LOG[POST MITIGATION SCORE]=0,"",RISK_LOG[POST MITIGATION SCORE]&gt;=16,"CRITICAL",RISK_LOG[POST MITIGATION SCORE]&gt;=9,"HIGH",RISK_LOG[POST MITIGATION SCORE]&gt;=4,"MEDIUM",RISK_LOG[POST MITIGATION SCORE]&gt;=0,"LOW")</f>
        <v>#REF!</v>
      </c>
      <c r="S59" s="602"/>
      <c r="T59" s="604"/>
      <c r="U59" s="605"/>
      <c r="V59" s="606"/>
      <c r="W59" s="606"/>
    </row>
    <row r="60" ht="45.0" hidden="1" customHeight="1" outlineLevel="1">
      <c r="A60" s="593" t="s">
        <v>1211</v>
      </c>
      <c r="B60" s="593" t="s">
        <v>1214</v>
      </c>
      <c r="C60" s="594" t="s">
        <v>1250</v>
      </c>
      <c r="D60" s="608"/>
      <c r="E60" s="596"/>
      <c r="F60" s="597"/>
      <c r="G60" s="597"/>
      <c r="H60" s="597"/>
      <c r="I60" s="607"/>
      <c r="J60" s="599"/>
      <c r="K60" s="603"/>
      <c r="L60" s="603"/>
      <c r="M60" s="600">
        <f t="shared" si="1"/>
        <v>0</v>
      </c>
      <c r="N60" s="601"/>
      <c r="O60" s="602"/>
      <c r="P60" s="603"/>
      <c r="Q60" s="603"/>
      <c r="R60" s="600" t="str">
        <f t="array" ref="R60:R61">IFS(RISK_LOG[POST MITIGATION SCORE]=0,"",RISK_LOG[POST MITIGATION SCORE]&gt;=16,"CRITICAL",RISK_LOG[POST MITIGATION SCORE]&gt;=9,"HIGH",RISK_LOG[POST MITIGATION SCORE]&gt;=4,"MEDIUM",RISK_LOG[POST MITIGATION SCORE]&gt;=0,"LOW")</f>
        <v>#REF!</v>
      </c>
      <c r="S60" s="602"/>
      <c r="T60" s="604"/>
      <c r="U60" s="605"/>
      <c r="V60" s="606"/>
      <c r="W60" s="606"/>
    </row>
    <row r="61" ht="45.0" customHeight="1" collapsed="1">
      <c r="A61" s="593" t="s">
        <v>1086</v>
      </c>
      <c r="B61" s="593" t="s">
        <v>1208</v>
      </c>
      <c r="C61" s="594" t="s">
        <v>1251</v>
      </c>
      <c r="D61" s="612" t="s">
        <v>1252</v>
      </c>
      <c r="E61" s="596"/>
      <c r="F61" s="597"/>
      <c r="G61" s="597"/>
      <c r="H61" s="597"/>
      <c r="I61" s="607"/>
      <c r="J61" s="599"/>
      <c r="K61" s="603"/>
      <c r="L61" s="603"/>
      <c r="M61" s="600">
        <f t="shared" si="1"/>
        <v>0</v>
      </c>
      <c r="N61" s="601"/>
      <c r="O61" s="602"/>
      <c r="P61" s="603"/>
      <c r="Q61" s="603"/>
      <c r="R61" s="600" t="str">
        <f t="array" ref="R61:R62">IFS(RISK_LOG[POST MITIGATION SCORE]=0,"",RISK_LOG[POST MITIGATION SCORE]&gt;=16,"CRITICAL",RISK_LOG[POST MITIGATION SCORE]&gt;=9,"HIGH",RISK_LOG[POST MITIGATION SCORE]&gt;=4,"MEDIUM",RISK_LOG[POST MITIGATION SCORE]&gt;=0,"LOW")</f>
        <v>#REF!</v>
      </c>
      <c r="S61" s="602"/>
      <c r="T61" s="604"/>
      <c r="U61" s="605"/>
      <c r="V61" s="606"/>
      <c r="W61" s="606"/>
    </row>
    <row r="62" ht="45.0" hidden="1" customHeight="1" outlineLevel="1">
      <c r="A62" s="593" t="s">
        <v>1211</v>
      </c>
      <c r="B62" s="593" t="s">
        <v>1214</v>
      </c>
      <c r="C62" s="594" t="s">
        <v>1253</v>
      </c>
      <c r="D62" s="608" t="s">
        <v>1254</v>
      </c>
      <c r="E62" s="593" t="s">
        <v>1255</v>
      </c>
      <c r="F62" s="597"/>
      <c r="G62" s="597"/>
      <c r="H62" s="597"/>
      <c r="I62" s="607"/>
      <c r="J62" s="599"/>
      <c r="K62" s="603"/>
      <c r="L62" s="603"/>
      <c r="M62" s="600">
        <f t="shared" si="1"/>
        <v>0</v>
      </c>
      <c r="N62" s="601"/>
      <c r="O62" s="602"/>
      <c r="P62" s="603"/>
      <c r="Q62" s="603"/>
      <c r="R62" s="600" t="str">
        <f t="array" ref="R62:R63">IFS(RISK_LOG[POST MITIGATION SCORE]=0,"",RISK_LOG[POST MITIGATION SCORE]&gt;=16,"CRITICAL",RISK_LOG[POST MITIGATION SCORE]&gt;=9,"HIGH",RISK_LOG[POST MITIGATION SCORE]&gt;=4,"MEDIUM",RISK_LOG[POST MITIGATION SCORE]&gt;=0,"LOW")</f>
        <v>#REF!</v>
      </c>
      <c r="S62" s="602"/>
      <c r="T62" s="604"/>
      <c r="U62" s="605"/>
      <c r="V62" s="606"/>
      <c r="W62" s="606"/>
    </row>
    <row r="63" ht="45.0" hidden="1" customHeight="1" outlineLevel="1">
      <c r="A63" s="593" t="s">
        <v>1211</v>
      </c>
      <c r="B63" s="593" t="s">
        <v>1214</v>
      </c>
      <c r="C63" s="594" t="s">
        <v>1256</v>
      </c>
      <c r="D63" s="608" t="s">
        <v>1257</v>
      </c>
      <c r="E63" s="593" t="s">
        <v>1258</v>
      </c>
      <c r="F63" s="597"/>
      <c r="G63" s="597"/>
      <c r="H63" s="597"/>
      <c r="I63" s="607"/>
      <c r="J63" s="599"/>
      <c r="K63" s="603"/>
      <c r="L63" s="603"/>
      <c r="M63" s="600">
        <f t="shared" si="1"/>
        <v>0</v>
      </c>
      <c r="N63" s="601"/>
      <c r="O63" s="602"/>
      <c r="P63" s="603"/>
      <c r="Q63" s="603"/>
      <c r="R63" s="600" t="str">
        <f t="array" ref="R63:R64">IFS(RISK_LOG[POST MITIGATION SCORE]=0,"",RISK_LOG[POST MITIGATION SCORE]&gt;=16,"CRITICAL",RISK_LOG[POST MITIGATION SCORE]&gt;=9,"HIGH",RISK_LOG[POST MITIGATION SCORE]&gt;=4,"MEDIUM",RISK_LOG[POST MITIGATION SCORE]&gt;=0,"LOW")</f>
        <v>#REF!</v>
      </c>
      <c r="S63" s="602"/>
      <c r="T63" s="604"/>
      <c r="U63" s="605"/>
      <c r="V63" s="606"/>
      <c r="W63" s="606"/>
    </row>
    <row r="64" ht="45.0" hidden="1" customHeight="1" outlineLevel="1">
      <c r="A64" s="593" t="s">
        <v>1211</v>
      </c>
      <c r="B64" s="593" t="s">
        <v>1214</v>
      </c>
      <c r="C64" s="594" t="s">
        <v>1259</v>
      </c>
      <c r="D64" s="608"/>
      <c r="E64" s="596"/>
      <c r="F64" s="597"/>
      <c r="G64" s="597"/>
      <c r="H64" s="597"/>
      <c r="I64" s="607"/>
      <c r="J64" s="599"/>
      <c r="K64" s="603"/>
      <c r="L64" s="603"/>
      <c r="M64" s="600">
        <f t="shared" si="1"/>
        <v>0</v>
      </c>
      <c r="N64" s="601"/>
      <c r="O64" s="602"/>
      <c r="P64" s="603"/>
      <c r="Q64" s="603"/>
      <c r="R64" s="600" t="str">
        <f t="array" ref="R64:R65">IFS(RISK_LOG[POST MITIGATION SCORE]=0,"",RISK_LOG[POST MITIGATION SCORE]&gt;=16,"CRITICAL",RISK_LOG[POST MITIGATION SCORE]&gt;=9,"HIGH",RISK_LOG[POST MITIGATION SCORE]&gt;=4,"MEDIUM",RISK_LOG[POST MITIGATION SCORE]&gt;=0,"LOW")</f>
        <v>#REF!</v>
      </c>
      <c r="S64" s="602"/>
      <c r="T64" s="604"/>
      <c r="U64" s="605"/>
      <c r="V64" s="606"/>
      <c r="W64" s="606"/>
    </row>
    <row r="65" ht="45.0" customHeight="1" collapsed="1">
      <c r="A65" s="593" t="s">
        <v>1086</v>
      </c>
      <c r="B65" s="593" t="s">
        <v>1208</v>
      </c>
      <c r="C65" s="594" t="s">
        <v>1260</v>
      </c>
      <c r="D65" s="608"/>
      <c r="E65" s="596"/>
      <c r="F65" s="597"/>
      <c r="G65" s="597"/>
      <c r="H65" s="597"/>
      <c r="I65" s="607"/>
      <c r="J65" s="599"/>
      <c r="K65" s="603"/>
      <c r="L65" s="603"/>
      <c r="M65" s="600">
        <f t="shared" si="1"/>
        <v>0</v>
      </c>
      <c r="N65" s="601"/>
      <c r="O65" s="602"/>
      <c r="P65" s="603"/>
      <c r="Q65" s="603"/>
      <c r="R65" s="600" t="str">
        <f t="array" ref="R65:R66">IFS(RISK_LOG[POST MITIGATION SCORE]=0,"",RISK_LOG[POST MITIGATION SCORE]&gt;=16,"CRITICAL",RISK_LOG[POST MITIGATION SCORE]&gt;=9,"HIGH",RISK_LOG[POST MITIGATION SCORE]&gt;=4,"MEDIUM",RISK_LOG[POST MITIGATION SCORE]&gt;=0,"LOW")</f>
        <v>#REF!</v>
      </c>
      <c r="S65" s="602"/>
      <c r="T65" s="604"/>
      <c r="U65" s="605"/>
      <c r="V65" s="606"/>
      <c r="W65" s="606"/>
    </row>
    <row r="66" ht="45.0" hidden="1" customHeight="1" outlineLevel="1">
      <c r="A66" s="593" t="s">
        <v>1211</v>
      </c>
      <c r="B66" s="593" t="s">
        <v>1214</v>
      </c>
      <c r="C66" s="594" t="s">
        <v>1261</v>
      </c>
      <c r="D66" s="608" t="s">
        <v>1262</v>
      </c>
      <c r="E66" s="593" t="s">
        <v>1255</v>
      </c>
      <c r="F66" s="597"/>
      <c r="G66" s="597"/>
      <c r="H66" s="597"/>
      <c r="I66" s="607"/>
      <c r="J66" s="599"/>
      <c r="K66" s="603"/>
      <c r="L66" s="603"/>
      <c r="M66" s="600">
        <f t="shared" si="1"/>
        <v>0</v>
      </c>
      <c r="N66" s="601"/>
      <c r="O66" s="602"/>
      <c r="P66" s="603"/>
      <c r="Q66" s="603"/>
      <c r="R66" s="600" t="str">
        <f t="array" ref="R66:R67">IFS(RISK_LOG[POST MITIGATION SCORE]=0,"",RISK_LOG[POST MITIGATION SCORE]&gt;=16,"CRITICAL",RISK_LOG[POST MITIGATION SCORE]&gt;=9,"HIGH",RISK_LOG[POST MITIGATION SCORE]&gt;=4,"MEDIUM",RISK_LOG[POST MITIGATION SCORE]&gt;=0,"LOW")</f>
        <v>#REF!</v>
      </c>
      <c r="S66" s="602"/>
      <c r="T66" s="604"/>
      <c r="U66" s="605"/>
      <c r="V66" s="606"/>
      <c r="W66" s="606"/>
    </row>
    <row r="67" ht="45.0" customHeight="1" collapsed="1">
      <c r="A67" s="609" t="s">
        <v>1086</v>
      </c>
      <c r="B67" s="593" t="s">
        <v>1208</v>
      </c>
      <c r="C67" s="594" t="s">
        <v>1263</v>
      </c>
      <c r="D67" s="608"/>
      <c r="E67" s="596"/>
      <c r="F67" s="597"/>
      <c r="G67" s="597"/>
      <c r="H67" s="597"/>
      <c r="I67" s="607"/>
      <c r="J67" s="599"/>
      <c r="K67" s="603"/>
      <c r="L67" s="603"/>
      <c r="M67" s="600">
        <f t="shared" si="1"/>
        <v>0</v>
      </c>
      <c r="N67" s="601"/>
      <c r="O67" s="602"/>
      <c r="P67" s="603"/>
      <c r="Q67" s="603"/>
      <c r="R67" s="600" t="str">
        <f t="array" ref="R67:R68">IFS(RISK_LOG[POST MITIGATION SCORE]=0,"",RISK_LOG[POST MITIGATION SCORE]&gt;=16,"CRITICAL",RISK_LOG[POST MITIGATION SCORE]&gt;=9,"HIGH",RISK_LOG[POST MITIGATION SCORE]&gt;=4,"MEDIUM",RISK_LOG[POST MITIGATION SCORE]&gt;=0,"LOW")</f>
        <v>#REF!</v>
      </c>
      <c r="S67" s="602"/>
      <c r="T67" s="604"/>
      <c r="U67" s="605"/>
      <c r="V67" s="606"/>
      <c r="W67" s="606"/>
    </row>
    <row r="68" ht="45.0" hidden="1" customHeight="1" outlineLevel="1">
      <c r="A68" s="593" t="s">
        <v>1211</v>
      </c>
      <c r="B68" s="593" t="s">
        <v>1214</v>
      </c>
      <c r="C68" s="594" t="s">
        <v>1264</v>
      </c>
      <c r="D68" s="608" t="s">
        <v>1265</v>
      </c>
      <c r="E68" s="593" t="s">
        <v>1255</v>
      </c>
      <c r="F68" s="597"/>
      <c r="G68" s="597"/>
      <c r="H68" s="597"/>
      <c r="I68" s="607"/>
      <c r="J68" s="599"/>
      <c r="K68" s="603"/>
      <c r="L68" s="603"/>
      <c r="M68" s="600">
        <f t="shared" si="1"/>
        <v>0</v>
      </c>
      <c r="N68" s="601"/>
      <c r="O68" s="602"/>
      <c r="P68" s="603"/>
      <c r="Q68" s="603"/>
      <c r="R68" s="600" t="str">
        <f t="array" ref="R68:R69">IFS(RISK_LOG[POST MITIGATION SCORE]=0,"",RISK_LOG[POST MITIGATION SCORE]&gt;=16,"CRITICAL",RISK_LOG[POST MITIGATION SCORE]&gt;=9,"HIGH",RISK_LOG[POST MITIGATION SCORE]&gt;=4,"MEDIUM",RISK_LOG[POST MITIGATION SCORE]&gt;=0,"LOW")</f>
        <v>#REF!</v>
      </c>
      <c r="S68" s="602"/>
      <c r="T68" s="604"/>
      <c r="U68" s="605"/>
      <c r="V68" s="606"/>
      <c r="W68" s="606"/>
    </row>
    <row r="69" ht="45.0" hidden="1" customHeight="1" outlineLevel="1">
      <c r="A69" s="593" t="s">
        <v>1211</v>
      </c>
      <c r="B69" s="593" t="s">
        <v>1214</v>
      </c>
      <c r="C69" s="594" t="s">
        <v>1266</v>
      </c>
      <c r="D69" s="608" t="s">
        <v>1267</v>
      </c>
      <c r="E69" s="593" t="s">
        <v>1258</v>
      </c>
      <c r="F69" s="597"/>
      <c r="G69" s="597"/>
      <c r="H69" s="597"/>
      <c r="I69" s="607"/>
      <c r="J69" s="599"/>
      <c r="K69" s="603"/>
      <c r="L69" s="603"/>
      <c r="M69" s="600">
        <f t="shared" si="1"/>
        <v>0</v>
      </c>
      <c r="N69" s="601"/>
      <c r="O69" s="602"/>
      <c r="P69" s="603"/>
      <c r="Q69" s="603"/>
      <c r="R69" s="600" t="str">
        <f t="array" ref="R69:R70">IFS(RISK_LOG[POST MITIGATION SCORE]=0,"",RISK_LOG[POST MITIGATION SCORE]&gt;=16,"CRITICAL",RISK_LOG[POST MITIGATION SCORE]&gt;=9,"HIGH",RISK_LOG[POST MITIGATION SCORE]&gt;=4,"MEDIUM",RISK_LOG[POST MITIGATION SCORE]&gt;=0,"LOW")</f>
        <v>#REF!</v>
      </c>
      <c r="S69" s="602"/>
      <c r="T69" s="604"/>
      <c r="U69" s="605"/>
      <c r="V69" s="606"/>
      <c r="W69" s="606"/>
    </row>
    <row r="70" ht="45.0" hidden="1" customHeight="1" outlineLevel="1">
      <c r="A70" s="593" t="s">
        <v>1211</v>
      </c>
      <c r="B70" s="593" t="s">
        <v>1214</v>
      </c>
      <c r="C70" s="594" t="s">
        <v>1268</v>
      </c>
      <c r="D70" s="608" t="s">
        <v>1269</v>
      </c>
      <c r="E70" s="593" t="s">
        <v>1270</v>
      </c>
      <c r="F70" s="597"/>
      <c r="G70" s="597"/>
      <c r="H70" s="597"/>
      <c r="I70" s="607"/>
      <c r="J70" s="599"/>
      <c r="K70" s="603"/>
      <c r="L70" s="603"/>
      <c r="M70" s="600">
        <f t="shared" si="1"/>
        <v>0</v>
      </c>
      <c r="N70" s="601"/>
      <c r="O70" s="602"/>
      <c r="P70" s="603"/>
      <c r="Q70" s="603"/>
      <c r="R70" s="600" t="str">
        <f t="array" ref="R70:R71">IFS(RISK_LOG[POST MITIGATION SCORE]=0,"",RISK_LOG[POST MITIGATION SCORE]&gt;=16,"CRITICAL",RISK_LOG[POST MITIGATION SCORE]&gt;=9,"HIGH",RISK_LOG[POST MITIGATION SCORE]&gt;=4,"MEDIUM",RISK_LOG[POST MITIGATION SCORE]&gt;=0,"LOW")</f>
        <v>#REF!</v>
      </c>
      <c r="S70" s="602"/>
      <c r="T70" s="604"/>
      <c r="U70" s="605"/>
      <c r="V70" s="606"/>
      <c r="W70" s="606"/>
    </row>
    <row r="71" ht="45.0" customHeight="1" collapsed="1">
      <c r="A71" s="593" t="s">
        <v>1086</v>
      </c>
      <c r="B71" s="593" t="s">
        <v>1208</v>
      </c>
      <c r="C71" s="594" t="s">
        <v>1271</v>
      </c>
      <c r="D71" s="608"/>
      <c r="E71" s="596"/>
      <c r="F71" s="597"/>
      <c r="G71" s="597"/>
      <c r="H71" s="597"/>
      <c r="I71" s="607"/>
      <c r="J71" s="599"/>
      <c r="K71" s="603"/>
      <c r="L71" s="603"/>
      <c r="M71" s="600">
        <f t="shared" si="1"/>
        <v>0</v>
      </c>
      <c r="N71" s="601"/>
      <c r="O71" s="602"/>
      <c r="P71" s="603"/>
      <c r="Q71" s="603"/>
      <c r="R71" s="600" t="str">
        <f t="array" ref="R71:R72">IFS(RISK_LOG[POST MITIGATION SCORE]=0,"",RISK_LOG[POST MITIGATION SCORE]&gt;=16,"CRITICAL",RISK_LOG[POST MITIGATION SCORE]&gt;=9,"HIGH",RISK_LOG[POST MITIGATION SCORE]&gt;=4,"MEDIUM",RISK_LOG[POST MITIGATION SCORE]&gt;=0,"LOW")</f>
        <v>#REF!</v>
      </c>
      <c r="S71" s="602"/>
      <c r="T71" s="604"/>
      <c r="U71" s="605"/>
      <c r="V71" s="606"/>
      <c r="W71" s="606"/>
    </row>
    <row r="72" ht="45.0" hidden="1" customHeight="1" outlineLevel="1">
      <c r="A72" s="593" t="s">
        <v>1211</v>
      </c>
      <c r="B72" s="593" t="s">
        <v>1214</v>
      </c>
      <c r="C72" s="594" t="str">
        <f>"TBD if this is the same as "&amp;ADDRESS(ROW(C66),COLUMN(C66))&amp;"."</f>
        <v>TBD if this is the same as $C$66.</v>
      </c>
      <c r="D72" s="608"/>
      <c r="E72" s="596"/>
      <c r="F72" s="597"/>
      <c r="G72" s="597"/>
      <c r="H72" s="597"/>
      <c r="I72" s="607"/>
      <c r="J72" s="599"/>
      <c r="K72" s="603"/>
      <c r="L72" s="603"/>
      <c r="M72" s="600">
        <f t="shared" si="1"/>
        <v>0</v>
      </c>
      <c r="N72" s="601"/>
      <c r="O72" s="602"/>
      <c r="P72" s="603"/>
      <c r="Q72" s="603"/>
      <c r="R72" s="600" t="str">
        <f t="array" ref="R72:R73">IFS(RISK_LOG[POST MITIGATION SCORE]=0,"",RISK_LOG[POST MITIGATION SCORE]&gt;=16,"CRITICAL",RISK_LOG[POST MITIGATION SCORE]&gt;=9,"HIGH",RISK_LOG[POST MITIGATION SCORE]&gt;=4,"MEDIUM",RISK_LOG[POST MITIGATION SCORE]&gt;=0,"LOW")</f>
        <v>#REF!</v>
      </c>
      <c r="S72" s="602"/>
      <c r="T72" s="604"/>
      <c r="U72" s="605"/>
      <c r="V72" s="606"/>
      <c r="W72" s="606"/>
    </row>
    <row r="73" ht="45.0" customHeight="1" collapsed="1">
      <c r="A73" s="609" t="s">
        <v>1195</v>
      </c>
      <c r="B73" s="593" t="s">
        <v>1176</v>
      </c>
      <c r="C73" s="594" t="s">
        <v>1272</v>
      </c>
      <c r="D73" s="608"/>
      <c r="E73" s="596"/>
      <c r="F73" s="597"/>
      <c r="G73" s="597"/>
      <c r="H73" s="597"/>
      <c r="I73" s="607"/>
      <c r="J73" s="599"/>
      <c r="K73" s="603"/>
      <c r="L73" s="603"/>
      <c r="M73" s="600">
        <f t="shared" si="1"/>
        <v>0</v>
      </c>
      <c r="N73" s="601"/>
      <c r="O73" s="602"/>
      <c r="P73" s="603"/>
      <c r="Q73" s="603"/>
      <c r="R73" s="600" t="str">
        <f t="array" ref="R73:R74">IFS(RISK_LOG[POST MITIGATION SCORE]=0,"",RISK_LOG[POST MITIGATION SCORE]&gt;=16,"CRITICAL",RISK_LOG[POST MITIGATION SCORE]&gt;=9,"HIGH",RISK_LOG[POST MITIGATION SCORE]&gt;=4,"MEDIUM",RISK_LOG[POST MITIGATION SCORE]&gt;=0,"LOW")</f>
        <v>#REF!</v>
      </c>
      <c r="S73" s="602"/>
      <c r="T73" s="604"/>
      <c r="U73" s="605"/>
      <c r="V73" s="606"/>
      <c r="W73" s="606"/>
    </row>
    <row r="74" ht="45.0" hidden="1" customHeight="1" outlineLevel="1">
      <c r="A74" s="609" t="s">
        <v>1211</v>
      </c>
      <c r="B74" s="593" t="s">
        <v>1176</v>
      </c>
      <c r="C74" s="594" t="s">
        <v>1273</v>
      </c>
      <c r="D74" s="608"/>
      <c r="E74" s="596"/>
      <c r="F74" s="597"/>
      <c r="G74" s="597"/>
      <c r="H74" s="597"/>
      <c r="I74" s="607"/>
      <c r="J74" s="599"/>
      <c r="K74" s="603"/>
      <c r="L74" s="603"/>
      <c r="M74" s="600">
        <f t="shared" si="1"/>
        <v>0</v>
      </c>
      <c r="N74" s="601"/>
      <c r="O74" s="602"/>
      <c r="P74" s="603"/>
      <c r="Q74" s="603"/>
      <c r="R74" s="600" t="str">
        <f t="array" ref="R74:R75">IFS(RISK_LOG[POST MITIGATION SCORE]=0,"",RISK_LOG[POST MITIGATION SCORE]&gt;=16,"CRITICAL",RISK_LOG[POST MITIGATION SCORE]&gt;=9,"HIGH",RISK_LOG[POST MITIGATION SCORE]&gt;=4,"MEDIUM",RISK_LOG[POST MITIGATION SCORE]&gt;=0,"LOW")</f>
        <v>#REF!</v>
      </c>
      <c r="S74" s="602"/>
      <c r="T74" s="604"/>
      <c r="U74" s="605"/>
      <c r="V74" s="606"/>
      <c r="W74" s="606"/>
    </row>
    <row r="75" ht="45.0" customHeight="1">
      <c r="A75" s="609" t="s">
        <v>1195</v>
      </c>
      <c r="B75" s="593" t="s">
        <v>1176</v>
      </c>
      <c r="C75" s="594" t="s">
        <v>1274</v>
      </c>
      <c r="D75" s="608"/>
      <c r="E75" s="596"/>
      <c r="F75" s="597"/>
      <c r="G75" s="597"/>
      <c r="H75" s="597"/>
      <c r="I75" s="607"/>
      <c r="J75" s="599"/>
      <c r="K75" s="603"/>
      <c r="L75" s="603"/>
      <c r="M75" s="600">
        <f t="shared" si="1"/>
        <v>0</v>
      </c>
      <c r="N75" s="601"/>
      <c r="O75" s="602"/>
      <c r="P75" s="603"/>
      <c r="Q75" s="603"/>
      <c r="R75" s="600" t="str">
        <f t="array" ref="R75:R76">IFS(RISK_LOG[POST MITIGATION SCORE]=0,"",RISK_LOG[POST MITIGATION SCORE]&gt;=16,"CRITICAL",RISK_LOG[POST MITIGATION SCORE]&gt;=9,"HIGH",RISK_LOG[POST MITIGATION SCORE]&gt;=4,"MEDIUM",RISK_LOG[POST MITIGATION SCORE]&gt;=0,"LOW")</f>
        <v>#REF!</v>
      </c>
      <c r="S75" s="602"/>
      <c r="T75" s="604"/>
      <c r="U75" s="605"/>
      <c r="V75" s="606"/>
      <c r="W75" s="606"/>
    </row>
    <row r="76" ht="45.0" customHeight="1" collapsed="1">
      <c r="A76" s="593" t="s">
        <v>1086</v>
      </c>
      <c r="B76" s="593" t="s">
        <v>1208</v>
      </c>
      <c r="C76" s="594" t="s">
        <v>1275</v>
      </c>
      <c r="D76" s="608" t="s">
        <v>1276</v>
      </c>
      <c r="E76" s="596"/>
      <c r="F76" s="597"/>
      <c r="G76" s="597"/>
      <c r="H76" s="597"/>
      <c r="I76" s="607"/>
      <c r="J76" s="599"/>
      <c r="K76" s="603"/>
      <c r="L76" s="603"/>
      <c r="M76" s="600">
        <f t="shared" si="1"/>
        <v>0</v>
      </c>
      <c r="N76" s="601"/>
      <c r="O76" s="602"/>
      <c r="P76" s="603"/>
      <c r="Q76" s="603"/>
      <c r="R76" s="600" t="str">
        <f t="array" ref="R76:R77">IFS(RISK_LOG[POST MITIGATION SCORE]=0,"",RISK_LOG[POST MITIGATION SCORE]&gt;=16,"CRITICAL",RISK_LOG[POST MITIGATION SCORE]&gt;=9,"HIGH",RISK_LOG[POST MITIGATION SCORE]&gt;=4,"MEDIUM",RISK_LOG[POST MITIGATION SCORE]&gt;=0,"LOW")</f>
        <v>#REF!</v>
      </c>
      <c r="S76" s="602"/>
      <c r="T76" s="604"/>
      <c r="U76" s="605"/>
      <c r="V76" s="606"/>
      <c r="W76" s="606"/>
    </row>
    <row r="77" ht="45.0" hidden="1" customHeight="1" outlineLevel="1">
      <c r="A77" s="593" t="s">
        <v>1211</v>
      </c>
      <c r="B77" s="593" t="s">
        <v>1214</v>
      </c>
      <c r="C77" s="594" t="s">
        <v>1277</v>
      </c>
      <c r="D77" s="608"/>
      <c r="E77" s="596"/>
      <c r="F77" s="597"/>
      <c r="G77" s="597"/>
      <c r="H77" s="597"/>
      <c r="I77" s="607"/>
      <c r="J77" s="599"/>
      <c r="K77" s="603"/>
      <c r="L77" s="603"/>
      <c r="M77" s="600">
        <f t="shared" si="1"/>
        <v>0</v>
      </c>
      <c r="N77" s="601"/>
      <c r="O77" s="602"/>
      <c r="P77" s="603"/>
      <c r="Q77" s="603"/>
      <c r="R77" s="600" t="str">
        <f t="array" ref="R77:R78">IFS(RISK_LOG[POST MITIGATION SCORE]=0,"",RISK_LOG[POST MITIGATION SCORE]&gt;=16,"CRITICAL",RISK_LOG[POST MITIGATION SCORE]&gt;=9,"HIGH",RISK_LOG[POST MITIGATION SCORE]&gt;=4,"MEDIUM",RISK_LOG[POST MITIGATION SCORE]&gt;=0,"LOW")</f>
        <v>#REF!</v>
      </c>
      <c r="S77" s="602"/>
      <c r="T77" s="604"/>
      <c r="U77" s="605"/>
      <c r="V77" s="606"/>
      <c r="W77" s="606"/>
    </row>
    <row r="78" ht="45.0" customHeight="1" collapsed="1">
      <c r="A78" s="613" t="s">
        <v>1086</v>
      </c>
      <c r="B78" s="614" t="s">
        <v>1208</v>
      </c>
      <c r="C78" s="615" t="s">
        <v>1278</v>
      </c>
      <c r="D78" s="616" t="s">
        <v>1276</v>
      </c>
      <c r="E78" s="617"/>
      <c r="F78" s="618"/>
      <c r="G78" s="618"/>
      <c r="H78" s="618"/>
      <c r="I78" s="619"/>
      <c r="J78" s="620"/>
      <c r="K78" s="617"/>
      <c r="L78" s="617"/>
      <c r="M78" s="621">
        <f t="shared" si="1"/>
        <v>0</v>
      </c>
      <c r="N78" s="619"/>
      <c r="O78" s="619"/>
      <c r="P78" s="617"/>
      <c r="Q78" s="617"/>
      <c r="R78" s="622" t="str">
        <f t="array" ref="R78:R79">IFS('IGNORE IssuesRisks'!$W$2:$W$101=0,"",'IGNORE IssuesRisks'!$W$2:$W$101&gt;=16,"CRITICAL",'IGNORE IssuesRisks'!$W$2:$W$101&gt;=9,"HIGH",'IGNORE IssuesRisks'!$W$2:$W$101&gt;=4,"MEDIUM",'IGNORE IssuesRisks'!$W$2:$W$101&gt;=0,"LOW")</f>
        <v>#REF!</v>
      </c>
      <c r="S78" s="619"/>
      <c r="T78" s="619"/>
      <c r="U78" s="623"/>
      <c r="V78" s="623"/>
      <c r="W78" s="624"/>
    </row>
    <row r="79" ht="45.0" hidden="1" customHeight="1" outlineLevel="1">
      <c r="A79" s="593" t="s">
        <v>1211</v>
      </c>
      <c r="B79" s="593" t="s">
        <v>1214</v>
      </c>
      <c r="C79" s="594" t="s">
        <v>205</v>
      </c>
      <c r="D79" s="608"/>
      <c r="E79" s="596"/>
      <c r="F79" s="597"/>
      <c r="G79" s="597"/>
      <c r="H79" s="597"/>
      <c r="I79" s="607"/>
      <c r="J79" s="599"/>
      <c r="K79" s="603"/>
      <c r="L79" s="603"/>
      <c r="M79" s="600">
        <f t="shared" si="1"/>
        <v>0</v>
      </c>
      <c r="N79" s="601"/>
      <c r="O79" s="602"/>
      <c r="P79" s="603"/>
      <c r="Q79" s="603"/>
      <c r="R79" s="600" t="str">
        <f t="array" ref="R79:R80">IFS(RISK_LOG[POST MITIGATION SCORE]=0,"",RISK_LOG[POST MITIGATION SCORE]&gt;=16,"CRITICAL",RISK_LOG[POST MITIGATION SCORE]&gt;=9,"HIGH",RISK_LOG[POST MITIGATION SCORE]&gt;=4,"MEDIUM",RISK_LOG[POST MITIGATION SCORE]&gt;=0,"LOW")</f>
        <v>#REF!</v>
      </c>
      <c r="S79" s="602"/>
      <c r="T79" s="604"/>
      <c r="U79" s="605"/>
      <c r="V79" s="606"/>
      <c r="W79" s="606"/>
    </row>
    <row r="80" ht="45.0" customHeight="1">
      <c r="A80" s="593" t="s">
        <v>1086</v>
      </c>
      <c r="B80" s="593" t="s">
        <v>1208</v>
      </c>
      <c r="C80" s="594" t="s">
        <v>1279</v>
      </c>
      <c r="D80" s="608" t="s">
        <v>1280</v>
      </c>
      <c r="E80" s="596"/>
      <c r="F80" s="597"/>
      <c r="G80" s="597"/>
      <c r="H80" s="597"/>
      <c r="I80" s="607"/>
      <c r="J80" s="599"/>
      <c r="K80" s="603"/>
      <c r="L80" s="603"/>
      <c r="M80" s="600">
        <f t="shared" si="1"/>
        <v>0</v>
      </c>
      <c r="N80" s="601"/>
      <c r="O80" s="602"/>
      <c r="P80" s="603"/>
      <c r="Q80" s="603"/>
      <c r="R80" s="600" t="str">
        <f t="array" ref="R80:R81">IFS(RISK_LOG[POST MITIGATION SCORE]=0,"",RISK_LOG[POST MITIGATION SCORE]&gt;=16,"CRITICAL",RISK_LOG[POST MITIGATION SCORE]&gt;=9,"HIGH",RISK_LOG[POST MITIGATION SCORE]&gt;=4,"MEDIUM",RISK_LOG[POST MITIGATION SCORE]&gt;=0,"LOW")</f>
        <v>#REF!</v>
      </c>
      <c r="S80" s="602"/>
      <c r="T80" s="604"/>
      <c r="U80" s="605"/>
      <c r="V80" s="606"/>
      <c r="W80" s="606"/>
    </row>
    <row r="81" ht="45.0" customHeight="1">
      <c r="A81" s="593" t="s">
        <v>1086</v>
      </c>
      <c r="B81" s="593" t="s">
        <v>1208</v>
      </c>
      <c r="C81" s="594" t="s">
        <v>1281</v>
      </c>
      <c r="D81" s="608" t="s">
        <v>1282</v>
      </c>
      <c r="E81" s="596"/>
      <c r="F81" s="597"/>
      <c r="G81" s="597"/>
      <c r="H81" s="597"/>
      <c r="I81" s="607"/>
      <c r="J81" s="599"/>
      <c r="K81" s="603"/>
      <c r="L81" s="603"/>
      <c r="M81" s="600">
        <f t="shared" si="1"/>
        <v>0</v>
      </c>
      <c r="N81" s="601"/>
      <c r="O81" s="602"/>
      <c r="P81" s="603"/>
      <c r="Q81" s="603"/>
      <c r="R81" s="600" t="str">
        <f t="array" ref="R81:R82">IFS(RISK_LOG[POST MITIGATION SCORE]=0,"",RISK_LOG[POST MITIGATION SCORE]&gt;=16,"CRITICAL",RISK_LOG[POST MITIGATION SCORE]&gt;=9,"HIGH",RISK_LOG[POST MITIGATION SCORE]&gt;=4,"MEDIUM",RISK_LOG[POST MITIGATION SCORE]&gt;=0,"LOW")</f>
        <v>#REF!</v>
      </c>
      <c r="S81" s="602"/>
      <c r="T81" s="604"/>
      <c r="U81" s="605"/>
      <c r="V81" s="606"/>
      <c r="W81" s="606"/>
    </row>
    <row r="82" ht="45.0" customHeight="1">
      <c r="A82" s="593" t="s">
        <v>1086</v>
      </c>
      <c r="B82" s="593" t="s">
        <v>1208</v>
      </c>
      <c r="C82" s="594" t="s">
        <v>1283</v>
      </c>
      <c r="D82" s="608" t="s">
        <v>1284</v>
      </c>
      <c r="E82" s="596"/>
      <c r="F82" s="597"/>
      <c r="G82" s="597"/>
      <c r="H82" s="597"/>
      <c r="I82" s="607"/>
      <c r="J82" s="599"/>
      <c r="K82" s="603"/>
      <c r="L82" s="603"/>
      <c r="M82" s="600">
        <f t="shared" si="1"/>
        <v>0</v>
      </c>
      <c r="N82" s="601"/>
      <c r="O82" s="602"/>
      <c r="P82" s="603"/>
      <c r="Q82" s="603"/>
      <c r="R82" s="600" t="str">
        <f t="array" ref="R82:R83">IFS(RISK_LOG[POST MITIGATION SCORE]=0,"",RISK_LOG[POST MITIGATION SCORE]&gt;=16,"CRITICAL",RISK_LOG[POST MITIGATION SCORE]&gt;=9,"HIGH",RISK_LOG[POST MITIGATION SCORE]&gt;=4,"MEDIUM",RISK_LOG[POST MITIGATION SCORE]&gt;=0,"LOW")</f>
        <v>#REF!</v>
      </c>
      <c r="S82" s="602"/>
      <c r="T82" s="604"/>
      <c r="U82" s="605"/>
      <c r="V82" s="606"/>
      <c r="W82" s="606"/>
    </row>
    <row r="83" ht="45.0" customHeight="1">
      <c r="A83" s="593" t="s">
        <v>1086</v>
      </c>
      <c r="B83" s="593" t="s">
        <v>1208</v>
      </c>
      <c r="C83" s="594" t="s">
        <v>1285</v>
      </c>
      <c r="D83" s="608" t="s">
        <v>1286</v>
      </c>
      <c r="E83" s="596"/>
      <c r="F83" s="597"/>
      <c r="G83" s="597"/>
      <c r="H83" s="597"/>
      <c r="I83" s="607"/>
      <c r="J83" s="599"/>
      <c r="K83" s="603"/>
      <c r="L83" s="603"/>
      <c r="M83" s="600">
        <f t="shared" si="1"/>
        <v>0</v>
      </c>
      <c r="N83" s="601"/>
      <c r="O83" s="602"/>
      <c r="P83" s="603"/>
      <c r="Q83" s="603"/>
      <c r="R83" s="600" t="str">
        <f t="array" ref="R83:R84">IFS(RISK_LOG[POST MITIGATION SCORE]=0,"",RISK_LOG[POST MITIGATION SCORE]&gt;=16,"CRITICAL",RISK_LOG[POST MITIGATION SCORE]&gt;=9,"HIGH",RISK_LOG[POST MITIGATION SCORE]&gt;=4,"MEDIUM",RISK_LOG[POST MITIGATION SCORE]&gt;=0,"LOW")</f>
        <v>#REF!</v>
      </c>
      <c r="S83" s="602"/>
      <c r="T83" s="604"/>
      <c r="U83" s="605"/>
      <c r="V83" s="606"/>
      <c r="W83" s="606"/>
    </row>
    <row r="84" ht="45.0" customHeight="1">
      <c r="A84" s="593" t="s">
        <v>1086</v>
      </c>
      <c r="B84" s="593" t="s">
        <v>1208</v>
      </c>
      <c r="C84" s="594" t="s">
        <v>1287</v>
      </c>
      <c r="D84" s="608"/>
      <c r="E84" s="596"/>
      <c r="F84" s="597"/>
      <c r="G84" s="597"/>
      <c r="H84" s="597"/>
      <c r="I84" s="607"/>
      <c r="J84" s="599"/>
      <c r="K84" s="603"/>
      <c r="L84" s="603"/>
      <c r="M84" s="600">
        <f t="shared" si="1"/>
        <v>0</v>
      </c>
      <c r="N84" s="601"/>
      <c r="O84" s="602"/>
      <c r="P84" s="603"/>
      <c r="Q84" s="603"/>
      <c r="R84" s="600" t="str">
        <f t="array" ref="R84:R85">IFS(RISK_LOG[POST MITIGATION SCORE]=0,"",RISK_LOG[POST MITIGATION SCORE]&gt;=16,"CRITICAL",RISK_LOG[POST MITIGATION SCORE]&gt;=9,"HIGH",RISK_LOG[POST MITIGATION SCORE]&gt;=4,"MEDIUM",RISK_LOG[POST MITIGATION SCORE]&gt;=0,"LOW")</f>
        <v>#REF!</v>
      </c>
      <c r="S84" s="602"/>
      <c r="T84" s="604"/>
      <c r="U84" s="605"/>
      <c r="V84" s="606"/>
      <c r="W84" s="606"/>
    </row>
    <row r="85" ht="45.0" customHeight="1">
      <c r="A85" s="593" t="s">
        <v>1086</v>
      </c>
      <c r="B85" s="593" t="s">
        <v>1208</v>
      </c>
      <c r="C85" s="594" t="s">
        <v>1288</v>
      </c>
      <c r="D85" s="608"/>
      <c r="E85" s="596"/>
      <c r="F85" s="597"/>
      <c r="G85" s="597"/>
      <c r="H85" s="597"/>
      <c r="I85" s="607"/>
      <c r="J85" s="599"/>
      <c r="K85" s="603"/>
      <c r="L85" s="603"/>
      <c r="M85" s="600">
        <f t="shared" si="1"/>
        <v>0</v>
      </c>
      <c r="N85" s="601"/>
      <c r="O85" s="602"/>
      <c r="P85" s="603"/>
      <c r="Q85" s="603"/>
      <c r="R85" s="600" t="str">
        <f t="array" ref="R85:R86">IFS(RISK_LOG[POST MITIGATION SCORE]=0,"",RISK_LOG[POST MITIGATION SCORE]&gt;=16,"CRITICAL",RISK_LOG[POST MITIGATION SCORE]&gt;=9,"HIGH",RISK_LOG[POST MITIGATION SCORE]&gt;=4,"MEDIUM",RISK_LOG[POST MITIGATION SCORE]&gt;=0,"LOW")</f>
        <v>#REF!</v>
      </c>
      <c r="S85" s="602"/>
      <c r="T85" s="604"/>
      <c r="U85" s="605"/>
      <c r="V85" s="606"/>
      <c r="W85" s="606"/>
    </row>
    <row r="86" ht="45.0" customHeight="1">
      <c r="A86" s="596"/>
      <c r="B86" s="593" t="s">
        <v>1176</v>
      </c>
      <c r="C86" s="594"/>
      <c r="D86" s="608"/>
      <c r="E86" s="596"/>
      <c r="F86" s="597"/>
      <c r="G86" s="597"/>
      <c r="H86" s="597"/>
      <c r="I86" s="607"/>
      <c r="J86" s="599"/>
      <c r="K86" s="603"/>
      <c r="L86" s="603"/>
      <c r="M86" s="600">
        <f t="shared" si="1"/>
        <v>0</v>
      </c>
      <c r="N86" s="601"/>
      <c r="O86" s="602"/>
      <c r="P86" s="603"/>
      <c r="Q86" s="603"/>
      <c r="R86" s="600" t="str">
        <f t="array" ref="R86:R87">IFS(RISK_LOG[POST MITIGATION SCORE]=0,"",RISK_LOG[POST MITIGATION SCORE]&gt;=16,"CRITICAL",RISK_LOG[POST MITIGATION SCORE]&gt;=9,"HIGH",RISK_LOG[POST MITIGATION SCORE]&gt;=4,"MEDIUM",RISK_LOG[POST MITIGATION SCORE]&gt;=0,"LOW")</f>
        <v>#REF!</v>
      </c>
      <c r="S86" s="602"/>
      <c r="T86" s="604"/>
      <c r="U86" s="605"/>
      <c r="V86" s="606"/>
      <c r="W86" s="606"/>
    </row>
    <row r="87" ht="45.0" customHeight="1">
      <c r="A87" s="596"/>
      <c r="B87" s="593" t="s">
        <v>1176</v>
      </c>
      <c r="C87" s="594"/>
      <c r="D87" s="608"/>
      <c r="E87" s="596"/>
      <c r="F87" s="597"/>
      <c r="G87" s="597"/>
      <c r="H87" s="597"/>
      <c r="I87" s="607"/>
      <c r="J87" s="599"/>
      <c r="K87" s="603"/>
      <c r="L87" s="603"/>
      <c r="M87" s="600">
        <f t="shared" si="1"/>
        <v>0</v>
      </c>
      <c r="N87" s="601"/>
      <c r="O87" s="602"/>
      <c r="P87" s="603"/>
      <c r="Q87" s="603"/>
      <c r="R87" s="600" t="str">
        <f t="array" ref="R87:R88">IFS(RISK_LOG[POST MITIGATION SCORE]=0,"",RISK_LOG[POST MITIGATION SCORE]&gt;=16,"CRITICAL",RISK_LOG[POST MITIGATION SCORE]&gt;=9,"HIGH",RISK_LOG[POST MITIGATION SCORE]&gt;=4,"MEDIUM",RISK_LOG[POST MITIGATION SCORE]&gt;=0,"LOW")</f>
        <v>#REF!</v>
      </c>
      <c r="S87" s="602"/>
      <c r="T87" s="604"/>
      <c r="U87" s="605"/>
      <c r="V87" s="606"/>
      <c r="W87" s="606"/>
    </row>
    <row r="88" ht="45.0" customHeight="1">
      <c r="A88" s="596"/>
      <c r="B88" s="593" t="s">
        <v>1176</v>
      </c>
      <c r="C88" s="594"/>
      <c r="D88" s="608"/>
      <c r="E88" s="596"/>
      <c r="F88" s="597"/>
      <c r="G88" s="597"/>
      <c r="H88" s="597"/>
      <c r="I88" s="607"/>
      <c r="J88" s="599"/>
      <c r="K88" s="603"/>
      <c r="L88" s="603"/>
      <c r="M88" s="600">
        <f t="shared" si="1"/>
        <v>0</v>
      </c>
      <c r="N88" s="601"/>
      <c r="O88" s="602"/>
      <c r="P88" s="603"/>
      <c r="Q88" s="603"/>
      <c r="R88" s="600" t="str">
        <f t="array" ref="R88:R89">IFS(RISK_LOG[POST MITIGATION SCORE]=0,"",RISK_LOG[POST MITIGATION SCORE]&gt;=16,"CRITICAL",RISK_LOG[POST MITIGATION SCORE]&gt;=9,"HIGH",RISK_LOG[POST MITIGATION SCORE]&gt;=4,"MEDIUM",RISK_LOG[POST MITIGATION SCORE]&gt;=0,"LOW")</f>
        <v>#REF!</v>
      </c>
      <c r="S88" s="602"/>
      <c r="T88" s="604"/>
      <c r="U88" s="605"/>
      <c r="V88" s="606"/>
      <c r="W88" s="606"/>
    </row>
    <row r="89" ht="45.0" customHeight="1">
      <c r="A89" s="596"/>
      <c r="B89" s="593" t="s">
        <v>1176</v>
      </c>
      <c r="C89" s="594"/>
      <c r="D89" s="608"/>
      <c r="E89" s="596"/>
      <c r="F89" s="597"/>
      <c r="G89" s="597"/>
      <c r="H89" s="597"/>
      <c r="I89" s="607"/>
      <c r="J89" s="599"/>
      <c r="K89" s="603"/>
      <c r="L89" s="603"/>
      <c r="M89" s="600">
        <f t="shared" si="1"/>
        <v>0</v>
      </c>
      <c r="N89" s="601"/>
      <c r="O89" s="602"/>
      <c r="P89" s="603"/>
      <c r="Q89" s="603"/>
      <c r="R89" s="600" t="str">
        <f t="array" ref="R89:R90">IFS(RISK_LOG[POST MITIGATION SCORE]=0,"",RISK_LOG[POST MITIGATION SCORE]&gt;=16,"CRITICAL",RISK_LOG[POST MITIGATION SCORE]&gt;=9,"HIGH",RISK_LOG[POST MITIGATION SCORE]&gt;=4,"MEDIUM",RISK_LOG[POST MITIGATION SCORE]&gt;=0,"LOW")</f>
        <v>#REF!</v>
      </c>
      <c r="S89" s="602"/>
      <c r="T89" s="604"/>
      <c r="U89" s="605"/>
      <c r="V89" s="606"/>
      <c r="W89" s="606"/>
    </row>
    <row r="90" ht="45.0" customHeight="1">
      <c r="A90" s="596"/>
      <c r="B90" s="593" t="s">
        <v>1176</v>
      </c>
      <c r="C90" s="594"/>
      <c r="D90" s="608"/>
      <c r="E90" s="596"/>
      <c r="F90" s="597"/>
      <c r="G90" s="597"/>
      <c r="H90" s="597"/>
      <c r="I90" s="607"/>
      <c r="J90" s="599"/>
      <c r="K90" s="603"/>
      <c r="L90" s="603"/>
      <c r="M90" s="600">
        <f t="shared" si="1"/>
        <v>0</v>
      </c>
      <c r="N90" s="601"/>
      <c r="O90" s="602"/>
      <c r="P90" s="603"/>
      <c r="Q90" s="603"/>
      <c r="R90" s="600" t="str">
        <f t="array" ref="R90:R91">IFS(RISK_LOG[POST MITIGATION SCORE]=0,"",RISK_LOG[POST MITIGATION SCORE]&gt;=16,"CRITICAL",RISK_LOG[POST MITIGATION SCORE]&gt;=9,"HIGH",RISK_LOG[POST MITIGATION SCORE]&gt;=4,"MEDIUM",RISK_LOG[POST MITIGATION SCORE]&gt;=0,"LOW")</f>
        <v>#REF!</v>
      </c>
      <c r="S90" s="602"/>
      <c r="T90" s="604"/>
      <c r="U90" s="605"/>
      <c r="V90" s="606"/>
      <c r="W90" s="606"/>
    </row>
    <row r="91" ht="45.0" customHeight="1">
      <c r="A91" s="596"/>
      <c r="B91" s="593" t="s">
        <v>1176</v>
      </c>
      <c r="C91" s="594"/>
      <c r="D91" s="608"/>
      <c r="E91" s="596"/>
      <c r="F91" s="597"/>
      <c r="G91" s="597"/>
      <c r="H91" s="597"/>
      <c r="I91" s="607"/>
      <c r="J91" s="599"/>
      <c r="K91" s="603"/>
      <c r="L91" s="603"/>
      <c r="M91" s="600">
        <f t="shared" si="1"/>
        <v>0</v>
      </c>
      <c r="N91" s="601"/>
      <c r="O91" s="602"/>
      <c r="P91" s="603"/>
      <c r="Q91" s="603"/>
      <c r="R91" s="600" t="str">
        <f t="array" ref="R91:R92">IFS(RISK_LOG[POST MITIGATION SCORE]=0,"",RISK_LOG[POST MITIGATION SCORE]&gt;=16,"CRITICAL",RISK_LOG[POST MITIGATION SCORE]&gt;=9,"HIGH",RISK_LOG[POST MITIGATION SCORE]&gt;=4,"MEDIUM",RISK_LOG[POST MITIGATION SCORE]&gt;=0,"LOW")</f>
        <v>#REF!</v>
      </c>
      <c r="S91" s="602"/>
      <c r="T91" s="604"/>
      <c r="U91" s="605"/>
      <c r="V91" s="606"/>
      <c r="W91" s="606"/>
    </row>
    <row r="92" ht="45.0" customHeight="1">
      <c r="A92" s="596"/>
      <c r="B92" s="593" t="s">
        <v>1176</v>
      </c>
      <c r="C92" s="594"/>
      <c r="D92" s="608"/>
      <c r="E92" s="596"/>
      <c r="F92" s="597"/>
      <c r="G92" s="597"/>
      <c r="H92" s="597"/>
      <c r="I92" s="607"/>
      <c r="J92" s="599"/>
      <c r="K92" s="603"/>
      <c r="L92" s="603"/>
      <c r="M92" s="600">
        <f t="shared" si="1"/>
        <v>0</v>
      </c>
      <c r="N92" s="601"/>
      <c r="O92" s="602"/>
      <c r="P92" s="603"/>
      <c r="Q92" s="603"/>
      <c r="R92" s="600" t="str">
        <f t="array" ref="R92:R93">IFS(RISK_LOG[POST MITIGATION SCORE]=0,"",RISK_LOG[POST MITIGATION SCORE]&gt;=16,"CRITICAL",RISK_LOG[POST MITIGATION SCORE]&gt;=9,"HIGH",RISK_LOG[POST MITIGATION SCORE]&gt;=4,"MEDIUM",RISK_LOG[POST MITIGATION SCORE]&gt;=0,"LOW")</f>
        <v>#REF!</v>
      </c>
      <c r="S92" s="602"/>
      <c r="T92" s="604"/>
      <c r="U92" s="605"/>
      <c r="V92" s="606"/>
      <c r="W92" s="606"/>
    </row>
    <row r="93" ht="45.0" customHeight="1">
      <c r="A93" s="596"/>
      <c r="B93" s="593" t="s">
        <v>1176</v>
      </c>
      <c r="C93" s="594"/>
      <c r="D93" s="608"/>
      <c r="E93" s="596"/>
      <c r="F93" s="597"/>
      <c r="G93" s="597"/>
      <c r="H93" s="597"/>
      <c r="I93" s="607"/>
      <c r="J93" s="599"/>
      <c r="K93" s="603"/>
      <c r="L93" s="603"/>
      <c r="M93" s="600">
        <f t="shared" si="1"/>
        <v>0</v>
      </c>
      <c r="N93" s="601"/>
      <c r="O93" s="602"/>
      <c r="P93" s="603"/>
      <c r="Q93" s="603"/>
      <c r="R93" s="600" t="str">
        <f t="array" ref="R93:R94">IFS(RISK_LOG[POST MITIGATION SCORE]=0,"",RISK_LOG[POST MITIGATION SCORE]&gt;=16,"CRITICAL",RISK_LOG[POST MITIGATION SCORE]&gt;=9,"HIGH",RISK_LOG[POST MITIGATION SCORE]&gt;=4,"MEDIUM",RISK_LOG[POST MITIGATION SCORE]&gt;=0,"LOW")</f>
        <v>#REF!</v>
      </c>
      <c r="S93" s="602"/>
      <c r="T93" s="604"/>
      <c r="U93" s="605"/>
      <c r="V93" s="606"/>
      <c r="W93" s="606"/>
    </row>
    <row r="94" ht="45.0" customHeight="1">
      <c r="A94" s="596"/>
      <c r="B94" s="593" t="s">
        <v>1176</v>
      </c>
      <c r="C94" s="594"/>
      <c r="D94" s="608"/>
      <c r="E94" s="596"/>
      <c r="F94" s="597"/>
      <c r="G94" s="597"/>
      <c r="H94" s="597"/>
      <c r="I94" s="607"/>
      <c r="J94" s="599"/>
      <c r="K94" s="603"/>
      <c r="L94" s="603"/>
      <c r="M94" s="600">
        <f t="shared" si="1"/>
        <v>0</v>
      </c>
      <c r="N94" s="601"/>
      <c r="O94" s="602"/>
      <c r="P94" s="603"/>
      <c r="Q94" s="603"/>
      <c r="R94" s="600" t="str">
        <f t="array" ref="R94:R95">IFS(RISK_LOG[POST MITIGATION SCORE]=0,"",RISK_LOG[POST MITIGATION SCORE]&gt;=16,"CRITICAL",RISK_LOG[POST MITIGATION SCORE]&gt;=9,"HIGH",RISK_LOG[POST MITIGATION SCORE]&gt;=4,"MEDIUM",RISK_LOG[POST MITIGATION SCORE]&gt;=0,"LOW")</f>
        <v>#REF!</v>
      </c>
      <c r="S94" s="602"/>
      <c r="T94" s="604"/>
      <c r="U94" s="605"/>
      <c r="V94" s="606"/>
      <c r="W94" s="606"/>
    </row>
    <row r="95" ht="45.0" customHeight="1">
      <c r="A95" s="596"/>
      <c r="B95" s="593" t="s">
        <v>1176</v>
      </c>
      <c r="C95" s="594"/>
      <c r="D95" s="608"/>
      <c r="E95" s="596"/>
      <c r="F95" s="597"/>
      <c r="G95" s="597"/>
      <c r="H95" s="597"/>
      <c r="I95" s="607"/>
      <c r="J95" s="599"/>
      <c r="K95" s="603"/>
      <c r="L95" s="603"/>
      <c r="M95" s="600">
        <f t="shared" si="1"/>
        <v>0</v>
      </c>
      <c r="N95" s="601"/>
      <c r="O95" s="602"/>
      <c r="P95" s="603"/>
      <c r="Q95" s="603"/>
      <c r="R95" s="600" t="str">
        <f t="array" ref="R95:R96">IFS(RISK_LOG[POST MITIGATION SCORE]=0,"",RISK_LOG[POST MITIGATION SCORE]&gt;=16,"CRITICAL",RISK_LOG[POST MITIGATION SCORE]&gt;=9,"HIGH",RISK_LOG[POST MITIGATION SCORE]&gt;=4,"MEDIUM",RISK_LOG[POST MITIGATION SCORE]&gt;=0,"LOW")</f>
        <v>#REF!</v>
      </c>
      <c r="S95" s="602"/>
      <c r="T95" s="604"/>
      <c r="U95" s="605"/>
      <c r="V95" s="606"/>
      <c r="W95" s="606"/>
    </row>
    <row r="96" ht="45.0" customHeight="1">
      <c r="A96" s="596"/>
      <c r="B96" s="593" t="s">
        <v>1176</v>
      </c>
      <c r="C96" s="594"/>
      <c r="D96" s="608"/>
      <c r="E96" s="596"/>
      <c r="F96" s="597"/>
      <c r="G96" s="597"/>
      <c r="H96" s="597"/>
      <c r="I96" s="607"/>
      <c r="J96" s="599"/>
      <c r="K96" s="603"/>
      <c r="L96" s="603"/>
      <c r="M96" s="600">
        <f t="shared" si="1"/>
        <v>0</v>
      </c>
      <c r="N96" s="601"/>
      <c r="O96" s="602"/>
      <c r="P96" s="603"/>
      <c r="Q96" s="603"/>
      <c r="R96" s="600" t="str">
        <f t="array" ref="R96:R97">IFS(RISK_LOG[POST MITIGATION SCORE]=0,"",RISK_LOG[POST MITIGATION SCORE]&gt;=16,"CRITICAL",RISK_LOG[POST MITIGATION SCORE]&gt;=9,"HIGH",RISK_LOG[POST MITIGATION SCORE]&gt;=4,"MEDIUM",RISK_LOG[POST MITIGATION SCORE]&gt;=0,"LOW")</f>
        <v>#REF!</v>
      </c>
      <c r="S96" s="602"/>
      <c r="T96" s="604"/>
      <c r="U96" s="605"/>
      <c r="V96" s="606"/>
      <c r="W96" s="606"/>
    </row>
    <row r="97" ht="45.0" customHeight="1">
      <c r="A97" s="596"/>
      <c r="B97" s="593" t="s">
        <v>1176</v>
      </c>
      <c r="C97" s="594"/>
      <c r="D97" s="608"/>
      <c r="E97" s="596"/>
      <c r="F97" s="597"/>
      <c r="G97" s="597"/>
      <c r="H97" s="597"/>
      <c r="I97" s="607"/>
      <c r="J97" s="599"/>
      <c r="K97" s="603"/>
      <c r="L97" s="603"/>
      <c r="M97" s="600">
        <f t="shared" si="1"/>
        <v>0</v>
      </c>
      <c r="N97" s="601"/>
      <c r="O97" s="602"/>
      <c r="P97" s="603"/>
      <c r="Q97" s="603"/>
      <c r="R97" s="600" t="str">
        <f t="array" ref="R97:R98">IFS(RISK_LOG[POST MITIGATION SCORE]=0,"",RISK_LOG[POST MITIGATION SCORE]&gt;=16,"CRITICAL",RISK_LOG[POST MITIGATION SCORE]&gt;=9,"HIGH",RISK_LOG[POST MITIGATION SCORE]&gt;=4,"MEDIUM",RISK_LOG[POST MITIGATION SCORE]&gt;=0,"LOW")</f>
        <v>#REF!</v>
      </c>
      <c r="S97" s="602"/>
      <c r="T97" s="604"/>
      <c r="U97" s="605"/>
      <c r="V97" s="606"/>
      <c r="W97" s="606"/>
    </row>
    <row r="98" ht="45.0" customHeight="1">
      <c r="A98" s="596"/>
      <c r="B98" s="593" t="s">
        <v>1176</v>
      </c>
      <c r="C98" s="594"/>
      <c r="D98" s="608"/>
      <c r="E98" s="596"/>
      <c r="F98" s="597"/>
      <c r="G98" s="597"/>
      <c r="H98" s="597"/>
      <c r="I98" s="607"/>
      <c r="J98" s="599"/>
      <c r="K98" s="603"/>
      <c r="L98" s="603"/>
      <c r="M98" s="600">
        <f t="shared" si="1"/>
        <v>0</v>
      </c>
      <c r="N98" s="601"/>
      <c r="O98" s="602"/>
      <c r="P98" s="603"/>
      <c r="Q98" s="603"/>
      <c r="R98" s="600" t="str">
        <f t="array" ref="R98:R99">IFS(RISK_LOG[POST MITIGATION SCORE]=0,"",RISK_LOG[POST MITIGATION SCORE]&gt;=16,"CRITICAL",RISK_LOG[POST MITIGATION SCORE]&gt;=9,"HIGH",RISK_LOG[POST MITIGATION SCORE]&gt;=4,"MEDIUM",RISK_LOG[POST MITIGATION SCORE]&gt;=0,"LOW")</f>
        <v>#REF!</v>
      </c>
      <c r="S98" s="602"/>
      <c r="T98" s="604"/>
      <c r="U98" s="605"/>
      <c r="V98" s="606"/>
      <c r="W98" s="606"/>
    </row>
    <row r="99" ht="45.0" customHeight="1">
      <c r="A99" s="596"/>
      <c r="B99" s="593" t="s">
        <v>1176</v>
      </c>
      <c r="C99" s="594"/>
      <c r="D99" s="608"/>
      <c r="E99" s="596"/>
      <c r="F99" s="597"/>
      <c r="G99" s="597"/>
      <c r="H99" s="597"/>
      <c r="I99" s="607"/>
      <c r="J99" s="599"/>
      <c r="K99" s="603"/>
      <c r="L99" s="603"/>
      <c r="M99" s="600">
        <f t="shared" si="1"/>
        <v>0</v>
      </c>
      <c r="N99" s="601"/>
      <c r="O99" s="602"/>
      <c r="P99" s="603"/>
      <c r="Q99" s="603"/>
      <c r="R99" s="600" t="str">
        <f t="array" ref="R99:R100">IFS(RISK_LOG[POST MITIGATION SCORE]=0,"",RISK_LOG[POST MITIGATION SCORE]&gt;=16,"CRITICAL",RISK_LOG[POST MITIGATION SCORE]&gt;=9,"HIGH",RISK_LOG[POST MITIGATION SCORE]&gt;=4,"MEDIUM",RISK_LOG[POST MITIGATION SCORE]&gt;=0,"LOW")</f>
        <v>#REF!</v>
      </c>
      <c r="S99" s="602"/>
      <c r="T99" s="604"/>
      <c r="U99" s="605"/>
      <c r="V99" s="606"/>
      <c r="W99" s="606"/>
    </row>
    <row r="100" ht="45.0" customHeight="1">
      <c r="A100" s="596"/>
      <c r="B100" s="593" t="s">
        <v>1176</v>
      </c>
      <c r="C100" s="594"/>
      <c r="D100" s="608"/>
      <c r="E100" s="596"/>
      <c r="F100" s="597"/>
      <c r="G100" s="597"/>
      <c r="H100" s="597"/>
      <c r="I100" s="607"/>
      <c r="J100" s="599"/>
      <c r="K100" s="603"/>
      <c r="L100" s="603"/>
      <c r="M100" s="600">
        <f t="shared" si="1"/>
        <v>0</v>
      </c>
      <c r="N100" s="601"/>
      <c r="O100" s="602"/>
      <c r="P100" s="603"/>
      <c r="Q100" s="603"/>
      <c r="R100" s="600" t="str">
        <f t="array" ref="R100:R101">IFS(RISK_LOG[POST MITIGATION SCORE]=0,"",RISK_LOG[POST MITIGATION SCORE]&gt;=16,"CRITICAL",RISK_LOG[POST MITIGATION SCORE]&gt;=9,"HIGH",RISK_LOG[POST MITIGATION SCORE]&gt;=4,"MEDIUM",RISK_LOG[POST MITIGATION SCORE]&gt;=0,"LOW")</f>
        <v>#REF!</v>
      </c>
      <c r="S100" s="602"/>
      <c r="T100" s="604"/>
      <c r="U100" s="605"/>
      <c r="V100" s="606"/>
      <c r="W100" s="606"/>
    </row>
    <row r="101" ht="45.0" customHeight="1">
      <c r="A101" s="596"/>
      <c r="B101" s="593" t="s">
        <v>1176</v>
      </c>
      <c r="C101" s="594"/>
      <c r="D101" s="608"/>
      <c r="E101" s="596"/>
      <c r="F101" s="597"/>
      <c r="G101" s="597"/>
      <c r="H101" s="597"/>
      <c r="I101" s="607"/>
      <c r="J101" s="599"/>
      <c r="K101" s="603"/>
      <c r="L101" s="603"/>
      <c r="M101" s="600">
        <f t="shared" si="1"/>
        <v>0</v>
      </c>
      <c r="N101" s="601"/>
      <c r="O101" s="602"/>
      <c r="P101" s="603"/>
      <c r="Q101" s="603"/>
      <c r="R101" s="600" t="str">
        <f t="array" ref="R101:R102">IFS(RISK_LOG[POST MITIGATION SCORE]=0,"",RISK_LOG[POST MITIGATION SCORE]&gt;=16,"CRITICAL",RISK_LOG[POST MITIGATION SCORE]&gt;=9,"HIGH",RISK_LOG[POST MITIGATION SCORE]&gt;=4,"MEDIUM",RISK_LOG[POST MITIGATION SCORE]&gt;=0,"LOW")</f>
        <v>#REF!</v>
      </c>
      <c r="S101" s="602"/>
      <c r="T101" s="604"/>
      <c r="U101" s="605"/>
      <c r="V101" s="606"/>
      <c r="W101" s="606"/>
    </row>
    <row r="102" ht="45.0" customHeight="1">
      <c r="A102" s="596"/>
      <c r="B102" s="593" t="s">
        <v>1176</v>
      </c>
      <c r="C102" s="594"/>
      <c r="D102" s="608"/>
      <c r="E102" s="596"/>
      <c r="F102" s="597"/>
      <c r="G102" s="597"/>
      <c r="H102" s="597"/>
      <c r="I102" s="607"/>
      <c r="J102" s="599"/>
      <c r="K102" s="603"/>
      <c r="L102" s="603"/>
      <c r="M102" s="600">
        <f t="shared" si="1"/>
        <v>0</v>
      </c>
      <c r="N102" s="601"/>
      <c r="O102" s="602"/>
      <c r="P102" s="603"/>
      <c r="Q102" s="603"/>
      <c r="R102" s="600" t="str">
        <f t="array" ref="R102:R103">IFS(RISK_LOG[POST MITIGATION SCORE]=0,"",RISK_LOG[POST MITIGATION SCORE]&gt;=16,"CRITICAL",RISK_LOG[POST MITIGATION SCORE]&gt;=9,"HIGH",RISK_LOG[POST MITIGATION SCORE]&gt;=4,"MEDIUM",RISK_LOG[POST MITIGATION SCORE]&gt;=0,"LOW")</f>
        <v>#REF!</v>
      </c>
      <c r="S102" s="602"/>
      <c r="T102" s="604"/>
      <c r="U102" s="605"/>
      <c r="V102" s="606"/>
      <c r="W102" s="606"/>
    </row>
    <row r="103">
      <c r="A103" s="625"/>
      <c r="B103" s="626"/>
      <c r="C103" s="627"/>
      <c r="D103" s="628"/>
      <c r="E103" s="629"/>
      <c r="F103" s="629"/>
      <c r="G103" s="629"/>
      <c r="H103" s="629"/>
      <c r="I103" s="630"/>
      <c r="J103" s="631"/>
      <c r="K103" s="632"/>
      <c r="L103" s="632"/>
      <c r="M103" s="633">
        <f t="shared" si="1"/>
        <v>0</v>
      </c>
      <c r="N103" s="625"/>
      <c r="O103" s="634"/>
      <c r="P103" s="632"/>
      <c r="Q103" s="632"/>
      <c r="R103" s="633" t="str">
        <f t="array" ref="R103:R104">IFS(RISK_LOG[POST MITIGATION SCORE]=0,"",RISK_LOG[POST MITIGATION SCORE]&gt;=16,"CRITICAL",RISK_LOG[POST MITIGATION SCORE]&gt;=9,"HIGH",RISK_LOG[POST MITIGATION SCORE]&gt;=4,"MEDIUM",RISK_LOG[POST MITIGATION SCORE]&gt;=0,"LOW")</f>
        <v>#REF!</v>
      </c>
      <c r="S103" s="634"/>
      <c r="T103" s="635"/>
      <c r="U103" s="636"/>
      <c r="V103" s="637"/>
      <c r="W103" s="637"/>
    </row>
    <row r="104">
      <c r="A104" s="625"/>
      <c r="B104" s="626"/>
      <c r="C104" s="627"/>
      <c r="D104" s="628"/>
      <c r="E104" s="629"/>
      <c r="F104" s="629"/>
      <c r="G104" s="629"/>
      <c r="H104" s="629"/>
      <c r="I104" s="630"/>
      <c r="J104" s="631"/>
      <c r="K104" s="632"/>
      <c r="L104" s="632"/>
      <c r="M104" s="633">
        <f t="shared" si="1"/>
        <v>0</v>
      </c>
      <c r="N104" s="625"/>
      <c r="O104" s="634"/>
      <c r="P104" s="632"/>
      <c r="Q104" s="632"/>
      <c r="R104" s="633" t="str">
        <f t="array" ref="R104:R105">IFS(RISK_LOG[POST MITIGATION SCORE]=0,"",RISK_LOG[POST MITIGATION SCORE]&gt;=16,"CRITICAL",RISK_LOG[POST MITIGATION SCORE]&gt;=9,"HIGH",RISK_LOG[POST MITIGATION SCORE]&gt;=4,"MEDIUM",RISK_LOG[POST MITIGATION SCORE]&gt;=0,"LOW")</f>
        <v>#REF!</v>
      </c>
      <c r="S104" s="634"/>
      <c r="T104" s="635"/>
      <c r="U104" s="636"/>
      <c r="V104" s="637"/>
      <c r="W104" s="637"/>
    </row>
    <row r="105">
      <c r="A105" s="625"/>
      <c r="B105" s="626"/>
      <c r="C105" s="627"/>
      <c r="D105" s="628"/>
      <c r="E105" s="629"/>
      <c r="F105" s="629"/>
      <c r="G105" s="629"/>
      <c r="H105" s="629"/>
      <c r="I105" s="630"/>
      <c r="J105" s="631"/>
      <c r="K105" s="632"/>
      <c r="L105" s="632"/>
      <c r="M105" s="633">
        <f t="shared" si="1"/>
        <v>0</v>
      </c>
      <c r="N105" s="625"/>
      <c r="O105" s="634"/>
      <c r="P105" s="632"/>
      <c r="Q105" s="632"/>
      <c r="R105" s="633" t="str">
        <f t="array" ref="R105:R106">IFS(RISK_LOG[POST MITIGATION SCORE]=0,"",RISK_LOG[POST MITIGATION SCORE]&gt;=16,"CRITICAL",RISK_LOG[POST MITIGATION SCORE]&gt;=9,"HIGH",RISK_LOG[POST MITIGATION SCORE]&gt;=4,"MEDIUM",RISK_LOG[POST MITIGATION SCORE]&gt;=0,"LOW")</f>
        <v>#REF!</v>
      </c>
      <c r="S105" s="634"/>
      <c r="T105" s="635"/>
      <c r="U105" s="636"/>
      <c r="V105" s="637"/>
      <c r="W105" s="637"/>
    </row>
    <row r="106">
      <c r="A106" s="625"/>
      <c r="B106" s="626"/>
      <c r="C106" s="627"/>
      <c r="D106" s="628"/>
      <c r="E106" s="629"/>
      <c r="F106" s="629"/>
      <c r="G106" s="629"/>
      <c r="H106" s="629"/>
      <c r="I106" s="630"/>
      <c r="J106" s="631"/>
      <c r="K106" s="632"/>
      <c r="L106" s="632"/>
      <c r="M106" s="633">
        <f t="shared" si="1"/>
        <v>0</v>
      </c>
      <c r="N106" s="625"/>
      <c r="O106" s="634"/>
      <c r="P106" s="632"/>
      <c r="Q106" s="632"/>
      <c r="R106" s="633" t="str">
        <f t="array" ref="R106:R107">IFS(RISK_LOG[POST MITIGATION SCORE]=0,"",RISK_LOG[POST MITIGATION SCORE]&gt;=16,"CRITICAL",RISK_LOG[POST MITIGATION SCORE]&gt;=9,"HIGH",RISK_LOG[POST MITIGATION SCORE]&gt;=4,"MEDIUM",RISK_LOG[POST MITIGATION SCORE]&gt;=0,"LOW")</f>
        <v>#REF!</v>
      </c>
      <c r="S106" s="634"/>
      <c r="T106" s="635"/>
      <c r="U106" s="636"/>
      <c r="V106" s="637"/>
      <c r="W106" s="637"/>
    </row>
    <row r="107">
      <c r="A107" s="625"/>
      <c r="B107" s="626"/>
      <c r="C107" s="627"/>
      <c r="D107" s="628"/>
      <c r="E107" s="629"/>
      <c r="F107" s="629"/>
      <c r="G107" s="629"/>
      <c r="H107" s="629"/>
      <c r="I107" s="630"/>
      <c r="J107" s="631"/>
      <c r="K107" s="632"/>
      <c r="L107" s="632"/>
      <c r="M107" s="633">
        <f t="shared" si="1"/>
        <v>0</v>
      </c>
      <c r="N107" s="625"/>
      <c r="O107" s="634"/>
      <c r="P107" s="632"/>
      <c r="Q107" s="632"/>
      <c r="R107" s="633" t="str">
        <f t="array" ref="R107:R108">IFS(RISK_LOG[POST MITIGATION SCORE]=0,"",RISK_LOG[POST MITIGATION SCORE]&gt;=16,"CRITICAL",RISK_LOG[POST MITIGATION SCORE]&gt;=9,"HIGH",RISK_LOG[POST MITIGATION SCORE]&gt;=4,"MEDIUM",RISK_LOG[POST MITIGATION SCORE]&gt;=0,"LOW")</f>
        <v>#REF!</v>
      </c>
      <c r="S107" s="634"/>
      <c r="T107" s="635"/>
      <c r="U107" s="636"/>
      <c r="V107" s="637"/>
      <c r="W107" s="637"/>
    </row>
    <row r="108">
      <c r="A108" s="625"/>
      <c r="B108" s="626"/>
      <c r="C108" s="627"/>
      <c r="D108" s="628"/>
      <c r="E108" s="629"/>
      <c r="F108" s="629"/>
      <c r="G108" s="629"/>
      <c r="H108" s="629"/>
      <c r="I108" s="630"/>
      <c r="J108" s="631"/>
      <c r="K108" s="632"/>
      <c r="L108" s="632"/>
      <c r="M108" s="633">
        <f t="shared" si="1"/>
        <v>0</v>
      </c>
      <c r="N108" s="625"/>
      <c r="O108" s="634"/>
      <c r="P108" s="632"/>
      <c r="Q108" s="632"/>
      <c r="R108" s="633" t="str">
        <f t="array" ref="R108:R109">IFS(RISK_LOG[POST MITIGATION SCORE]=0,"",RISK_LOG[POST MITIGATION SCORE]&gt;=16,"CRITICAL",RISK_LOG[POST MITIGATION SCORE]&gt;=9,"HIGH",RISK_LOG[POST MITIGATION SCORE]&gt;=4,"MEDIUM",RISK_LOG[POST MITIGATION SCORE]&gt;=0,"LOW")</f>
        <v>#REF!</v>
      </c>
      <c r="S108" s="634"/>
      <c r="T108" s="635"/>
      <c r="U108" s="636"/>
      <c r="V108" s="637"/>
      <c r="W108" s="637"/>
    </row>
    <row r="109">
      <c r="A109" s="625"/>
      <c r="B109" s="626"/>
      <c r="C109" s="627"/>
      <c r="D109" s="628"/>
      <c r="E109" s="629"/>
      <c r="F109" s="629"/>
      <c r="G109" s="629"/>
      <c r="H109" s="629"/>
      <c r="I109" s="630"/>
      <c r="J109" s="631"/>
      <c r="K109" s="632"/>
      <c r="L109" s="632"/>
      <c r="M109" s="633">
        <f t="shared" si="1"/>
        <v>0</v>
      </c>
      <c r="N109" s="625"/>
      <c r="O109" s="634"/>
      <c r="P109" s="632"/>
      <c r="Q109" s="632"/>
      <c r="R109" s="633" t="str">
        <f t="array" ref="R109:R110">IFS(RISK_LOG[POST MITIGATION SCORE]=0,"",RISK_LOG[POST MITIGATION SCORE]&gt;=16,"CRITICAL",RISK_LOG[POST MITIGATION SCORE]&gt;=9,"HIGH",RISK_LOG[POST MITIGATION SCORE]&gt;=4,"MEDIUM",RISK_LOG[POST MITIGATION SCORE]&gt;=0,"LOW")</f>
        <v>#REF!</v>
      </c>
      <c r="S109" s="634"/>
      <c r="T109" s="635"/>
      <c r="U109" s="636"/>
      <c r="V109" s="637"/>
      <c r="W109" s="637"/>
    </row>
    <row r="110">
      <c r="A110" s="625"/>
      <c r="B110" s="626"/>
      <c r="C110" s="627"/>
      <c r="D110" s="628"/>
      <c r="E110" s="629"/>
      <c r="F110" s="629"/>
      <c r="G110" s="629"/>
      <c r="H110" s="629"/>
      <c r="I110" s="630"/>
      <c r="J110" s="631"/>
      <c r="K110" s="632"/>
      <c r="L110" s="632"/>
      <c r="M110" s="633">
        <f t="shared" si="1"/>
        <v>0</v>
      </c>
      <c r="N110" s="625"/>
      <c r="O110" s="634"/>
      <c r="P110" s="632"/>
      <c r="Q110" s="632"/>
      <c r="R110" s="633" t="str">
        <f t="array" ref="R110:R111">IFS(RISK_LOG[POST MITIGATION SCORE]=0,"",RISK_LOG[POST MITIGATION SCORE]&gt;=16,"CRITICAL",RISK_LOG[POST MITIGATION SCORE]&gt;=9,"HIGH",RISK_LOG[POST MITIGATION SCORE]&gt;=4,"MEDIUM",RISK_LOG[POST MITIGATION SCORE]&gt;=0,"LOW")</f>
        <v>#REF!</v>
      </c>
      <c r="S110" s="634"/>
      <c r="T110" s="635"/>
      <c r="U110" s="636"/>
      <c r="V110" s="637"/>
      <c r="W110" s="637"/>
    </row>
    <row r="111">
      <c r="A111" s="625"/>
      <c r="B111" s="626"/>
      <c r="C111" s="627"/>
      <c r="D111" s="628"/>
      <c r="E111" s="629"/>
      <c r="F111" s="629"/>
      <c r="G111" s="629"/>
      <c r="H111" s="629"/>
      <c r="I111" s="630"/>
      <c r="J111" s="631"/>
      <c r="K111" s="632"/>
      <c r="L111" s="632"/>
      <c r="M111" s="633">
        <f t="shared" si="1"/>
        <v>0</v>
      </c>
      <c r="N111" s="625"/>
      <c r="O111" s="634"/>
      <c r="P111" s="632"/>
      <c r="Q111" s="632"/>
      <c r="R111" s="633" t="str">
        <f t="array" ref="R111:R112">IFS(RISK_LOG[POST MITIGATION SCORE]=0,"",RISK_LOG[POST MITIGATION SCORE]&gt;=16,"CRITICAL",RISK_LOG[POST MITIGATION SCORE]&gt;=9,"HIGH",RISK_LOG[POST MITIGATION SCORE]&gt;=4,"MEDIUM",RISK_LOG[POST MITIGATION SCORE]&gt;=0,"LOW")</f>
        <v>#REF!</v>
      </c>
      <c r="S111" s="634"/>
      <c r="T111" s="635"/>
      <c r="U111" s="636"/>
      <c r="V111" s="637"/>
      <c r="W111" s="637"/>
    </row>
    <row r="112">
      <c r="A112" s="625"/>
      <c r="B112" s="626"/>
      <c r="C112" s="627"/>
      <c r="D112" s="628"/>
      <c r="E112" s="629"/>
      <c r="F112" s="629"/>
      <c r="G112" s="629"/>
      <c r="H112" s="629"/>
      <c r="I112" s="630"/>
      <c r="J112" s="631"/>
      <c r="K112" s="632"/>
      <c r="L112" s="632"/>
      <c r="M112" s="633">
        <f t="shared" si="1"/>
        <v>0</v>
      </c>
      <c r="N112" s="625"/>
      <c r="O112" s="634"/>
      <c r="P112" s="632"/>
      <c r="Q112" s="632"/>
      <c r="R112" s="633" t="str">
        <f t="array" ref="R112:R113">IFS(RISK_LOG[POST MITIGATION SCORE]=0,"",RISK_LOG[POST MITIGATION SCORE]&gt;=16,"CRITICAL",RISK_LOG[POST MITIGATION SCORE]&gt;=9,"HIGH",RISK_LOG[POST MITIGATION SCORE]&gt;=4,"MEDIUM",RISK_LOG[POST MITIGATION SCORE]&gt;=0,"LOW")</f>
        <v>#REF!</v>
      </c>
      <c r="S112" s="634"/>
      <c r="T112" s="635"/>
      <c r="U112" s="636"/>
      <c r="V112" s="637"/>
      <c r="W112" s="637"/>
    </row>
    <row r="113">
      <c r="A113" s="625"/>
      <c r="B113" s="626"/>
      <c r="C113" s="627"/>
      <c r="D113" s="628"/>
      <c r="E113" s="629"/>
      <c r="F113" s="629"/>
      <c r="G113" s="629"/>
      <c r="H113" s="629"/>
      <c r="I113" s="630"/>
      <c r="J113" s="631"/>
      <c r="K113" s="632"/>
      <c r="L113" s="632"/>
      <c r="M113" s="633">
        <f t="shared" si="1"/>
        <v>0</v>
      </c>
      <c r="N113" s="625"/>
      <c r="O113" s="634"/>
      <c r="P113" s="632"/>
      <c r="Q113" s="632"/>
      <c r="R113" s="633" t="str">
        <f t="array" ref="R113:R114">IFS(RISK_LOG[POST MITIGATION SCORE]=0,"",RISK_LOG[POST MITIGATION SCORE]&gt;=16,"CRITICAL",RISK_LOG[POST MITIGATION SCORE]&gt;=9,"HIGH",RISK_LOG[POST MITIGATION SCORE]&gt;=4,"MEDIUM",RISK_LOG[POST MITIGATION SCORE]&gt;=0,"LOW")</f>
        <v>#REF!</v>
      </c>
      <c r="S113" s="634"/>
      <c r="T113" s="635"/>
      <c r="U113" s="636"/>
      <c r="V113" s="637"/>
      <c r="W113" s="637"/>
    </row>
    <row r="114">
      <c r="A114" s="625"/>
      <c r="B114" s="626"/>
      <c r="C114" s="627"/>
      <c r="D114" s="628"/>
      <c r="E114" s="629"/>
      <c r="F114" s="629"/>
      <c r="G114" s="629"/>
      <c r="H114" s="629"/>
      <c r="I114" s="630"/>
      <c r="J114" s="631"/>
      <c r="K114" s="632"/>
      <c r="L114" s="632"/>
      <c r="M114" s="633">
        <f t="shared" si="1"/>
        <v>0</v>
      </c>
      <c r="N114" s="625"/>
      <c r="O114" s="634"/>
      <c r="P114" s="632"/>
      <c r="Q114" s="632"/>
      <c r="R114" s="633" t="str">
        <f t="array" ref="R114:R115">IFS(RISK_LOG[POST MITIGATION SCORE]=0,"",RISK_LOG[POST MITIGATION SCORE]&gt;=16,"CRITICAL",RISK_LOG[POST MITIGATION SCORE]&gt;=9,"HIGH",RISK_LOG[POST MITIGATION SCORE]&gt;=4,"MEDIUM",RISK_LOG[POST MITIGATION SCORE]&gt;=0,"LOW")</f>
        <v>#REF!</v>
      </c>
      <c r="S114" s="634"/>
      <c r="T114" s="635"/>
      <c r="U114" s="636"/>
      <c r="V114" s="637"/>
      <c r="W114" s="637"/>
    </row>
    <row r="115">
      <c r="A115" s="625"/>
      <c r="B115" s="626"/>
      <c r="C115" s="627"/>
      <c r="D115" s="628"/>
      <c r="E115" s="629"/>
      <c r="F115" s="629"/>
      <c r="G115" s="629"/>
      <c r="H115" s="629"/>
      <c r="I115" s="630"/>
      <c r="J115" s="631"/>
      <c r="K115" s="632"/>
      <c r="L115" s="632"/>
      <c r="M115" s="633">
        <f t="shared" si="1"/>
        <v>0</v>
      </c>
      <c r="N115" s="625"/>
      <c r="O115" s="634"/>
      <c r="P115" s="632"/>
      <c r="Q115" s="632"/>
      <c r="R115" s="633" t="str">
        <f t="array" ref="R115:R116">IFS(RISK_LOG[POST MITIGATION SCORE]=0,"",RISK_LOG[POST MITIGATION SCORE]&gt;=16,"CRITICAL",RISK_LOG[POST MITIGATION SCORE]&gt;=9,"HIGH",RISK_LOG[POST MITIGATION SCORE]&gt;=4,"MEDIUM",RISK_LOG[POST MITIGATION SCORE]&gt;=0,"LOW")</f>
        <v>#REF!</v>
      </c>
      <c r="S115" s="634"/>
      <c r="T115" s="635"/>
      <c r="U115" s="636"/>
      <c r="V115" s="637"/>
      <c r="W115" s="637"/>
    </row>
    <row r="116">
      <c r="A116" s="625"/>
      <c r="B116" s="626"/>
      <c r="C116" s="627"/>
      <c r="D116" s="628"/>
      <c r="E116" s="629"/>
      <c r="F116" s="629"/>
      <c r="G116" s="629"/>
      <c r="H116" s="629"/>
      <c r="I116" s="630"/>
      <c r="J116" s="631"/>
      <c r="K116" s="632"/>
      <c r="L116" s="632"/>
      <c r="M116" s="633">
        <f t="shared" si="1"/>
        <v>0</v>
      </c>
      <c r="N116" s="625"/>
      <c r="O116" s="634"/>
      <c r="P116" s="632"/>
      <c r="Q116" s="632"/>
      <c r="R116" s="633" t="str">
        <f t="array" ref="R116:R117">IFS(RISK_LOG[POST MITIGATION SCORE]=0,"",RISK_LOG[POST MITIGATION SCORE]&gt;=16,"CRITICAL",RISK_LOG[POST MITIGATION SCORE]&gt;=9,"HIGH",RISK_LOG[POST MITIGATION SCORE]&gt;=4,"MEDIUM",RISK_LOG[POST MITIGATION SCORE]&gt;=0,"LOW")</f>
        <v>#REF!</v>
      </c>
      <c r="S116" s="634"/>
      <c r="T116" s="635"/>
      <c r="U116" s="636"/>
      <c r="V116" s="637"/>
      <c r="W116" s="637"/>
    </row>
    <row r="117">
      <c r="A117" s="625"/>
      <c r="B117" s="626"/>
      <c r="C117" s="627"/>
      <c r="D117" s="628"/>
      <c r="E117" s="629"/>
      <c r="F117" s="629"/>
      <c r="G117" s="629"/>
      <c r="H117" s="629"/>
      <c r="I117" s="630"/>
      <c r="J117" s="631"/>
      <c r="K117" s="632"/>
      <c r="L117" s="632"/>
      <c r="M117" s="633">
        <f t="shared" si="1"/>
        <v>0</v>
      </c>
      <c r="N117" s="625"/>
      <c r="O117" s="634"/>
      <c r="P117" s="632"/>
      <c r="Q117" s="632"/>
      <c r="R117" s="633" t="str">
        <f t="array" ref="R117:R118">IFS(RISK_LOG[POST MITIGATION SCORE]=0,"",RISK_LOG[POST MITIGATION SCORE]&gt;=16,"CRITICAL",RISK_LOG[POST MITIGATION SCORE]&gt;=9,"HIGH",RISK_LOG[POST MITIGATION SCORE]&gt;=4,"MEDIUM",RISK_LOG[POST MITIGATION SCORE]&gt;=0,"LOW")</f>
        <v>#REF!</v>
      </c>
      <c r="S117" s="634"/>
      <c r="T117" s="635"/>
      <c r="U117" s="636"/>
      <c r="V117" s="637"/>
      <c r="W117" s="637"/>
    </row>
    <row r="118">
      <c r="A118" s="625"/>
      <c r="B118" s="626"/>
      <c r="C118" s="627"/>
      <c r="D118" s="628"/>
      <c r="E118" s="629"/>
      <c r="F118" s="629"/>
      <c r="G118" s="629"/>
      <c r="H118" s="629"/>
      <c r="I118" s="630"/>
      <c r="J118" s="631"/>
      <c r="K118" s="632"/>
      <c r="L118" s="632"/>
      <c r="M118" s="633">
        <f t="shared" si="1"/>
        <v>0</v>
      </c>
      <c r="N118" s="625"/>
      <c r="O118" s="634"/>
      <c r="P118" s="632"/>
      <c r="Q118" s="632"/>
      <c r="R118" s="633" t="str">
        <f t="array" ref="R118:R119">IFS(RISK_LOG[POST MITIGATION SCORE]=0,"",RISK_LOG[POST MITIGATION SCORE]&gt;=16,"CRITICAL",RISK_LOG[POST MITIGATION SCORE]&gt;=9,"HIGH",RISK_LOG[POST MITIGATION SCORE]&gt;=4,"MEDIUM",RISK_LOG[POST MITIGATION SCORE]&gt;=0,"LOW")</f>
        <v>#REF!</v>
      </c>
      <c r="S118" s="634"/>
      <c r="T118" s="635"/>
      <c r="U118" s="636"/>
      <c r="V118" s="637"/>
      <c r="W118" s="637"/>
    </row>
    <row r="119">
      <c r="A119" s="625"/>
      <c r="B119" s="626"/>
      <c r="C119" s="627"/>
      <c r="D119" s="628"/>
      <c r="E119" s="629"/>
      <c r="F119" s="629"/>
      <c r="G119" s="629"/>
      <c r="H119" s="629"/>
      <c r="I119" s="630"/>
      <c r="J119" s="631"/>
      <c r="K119" s="632"/>
      <c r="L119" s="632"/>
      <c r="M119" s="633">
        <f t="shared" si="1"/>
        <v>0</v>
      </c>
      <c r="N119" s="625"/>
      <c r="O119" s="634"/>
      <c r="P119" s="632"/>
      <c r="Q119" s="632"/>
      <c r="R119" s="633" t="str">
        <f t="array" ref="R119:R120">IFS(RISK_LOG[POST MITIGATION SCORE]=0,"",RISK_LOG[POST MITIGATION SCORE]&gt;=16,"CRITICAL",RISK_LOG[POST MITIGATION SCORE]&gt;=9,"HIGH",RISK_LOG[POST MITIGATION SCORE]&gt;=4,"MEDIUM",RISK_LOG[POST MITIGATION SCORE]&gt;=0,"LOW")</f>
        <v>#REF!</v>
      </c>
      <c r="S119" s="634"/>
      <c r="T119" s="635"/>
      <c r="U119" s="636"/>
      <c r="V119" s="637"/>
      <c r="W119" s="637"/>
    </row>
    <row r="120">
      <c r="A120" s="625"/>
      <c r="B120" s="626"/>
      <c r="C120" s="627"/>
      <c r="D120" s="628"/>
      <c r="E120" s="629"/>
      <c r="F120" s="629"/>
      <c r="G120" s="629"/>
      <c r="H120" s="629"/>
      <c r="I120" s="630"/>
      <c r="J120" s="631"/>
      <c r="K120" s="632"/>
      <c r="L120" s="632"/>
      <c r="M120" s="633">
        <f t="shared" si="1"/>
        <v>0</v>
      </c>
      <c r="N120" s="625"/>
      <c r="O120" s="634"/>
      <c r="P120" s="632"/>
      <c r="Q120" s="632"/>
      <c r="R120" s="633" t="str">
        <f t="array" ref="R120:R121">IFS(RISK_LOG[POST MITIGATION SCORE]=0,"",RISK_LOG[POST MITIGATION SCORE]&gt;=16,"CRITICAL",RISK_LOG[POST MITIGATION SCORE]&gt;=9,"HIGH",RISK_LOG[POST MITIGATION SCORE]&gt;=4,"MEDIUM",RISK_LOG[POST MITIGATION SCORE]&gt;=0,"LOW")</f>
        <v>#REF!</v>
      </c>
      <c r="S120" s="634"/>
      <c r="T120" s="635"/>
      <c r="U120" s="636"/>
      <c r="V120" s="637"/>
      <c r="W120" s="637"/>
    </row>
    <row r="121">
      <c r="A121" s="625"/>
      <c r="B121" s="626"/>
      <c r="C121" s="627"/>
      <c r="D121" s="628"/>
      <c r="E121" s="629"/>
      <c r="F121" s="629"/>
      <c r="G121" s="629"/>
      <c r="H121" s="629"/>
      <c r="I121" s="630"/>
      <c r="J121" s="631"/>
      <c r="K121" s="632"/>
      <c r="L121" s="632"/>
      <c r="M121" s="633">
        <f t="shared" si="1"/>
        <v>0</v>
      </c>
      <c r="N121" s="625"/>
      <c r="O121" s="634"/>
      <c r="P121" s="632"/>
      <c r="Q121" s="632"/>
      <c r="R121" s="633" t="str">
        <f t="array" ref="R121:R122">IFS(RISK_LOG[POST MITIGATION SCORE]=0,"",RISK_LOG[POST MITIGATION SCORE]&gt;=16,"CRITICAL",RISK_LOG[POST MITIGATION SCORE]&gt;=9,"HIGH",RISK_LOG[POST MITIGATION SCORE]&gt;=4,"MEDIUM",RISK_LOG[POST MITIGATION SCORE]&gt;=0,"LOW")</f>
        <v>#REF!</v>
      </c>
      <c r="S121" s="634"/>
      <c r="T121" s="635"/>
      <c r="U121" s="636"/>
      <c r="V121" s="637"/>
      <c r="W121" s="637"/>
    </row>
    <row r="122">
      <c r="A122" s="625"/>
      <c r="B122" s="626"/>
      <c r="C122" s="627"/>
      <c r="D122" s="628"/>
      <c r="E122" s="629"/>
      <c r="F122" s="629"/>
      <c r="G122" s="629"/>
      <c r="H122" s="629"/>
      <c r="I122" s="630"/>
      <c r="J122" s="631"/>
      <c r="K122" s="632"/>
      <c r="L122" s="632"/>
      <c r="M122" s="633">
        <f t="shared" si="1"/>
        <v>0</v>
      </c>
      <c r="N122" s="625"/>
      <c r="O122" s="634"/>
      <c r="P122" s="632"/>
      <c r="Q122" s="632"/>
      <c r="R122" s="633" t="str">
        <f t="array" ref="R122:R123">IFS(RISK_LOG[POST MITIGATION SCORE]=0,"",RISK_LOG[POST MITIGATION SCORE]&gt;=16,"CRITICAL",RISK_LOG[POST MITIGATION SCORE]&gt;=9,"HIGH",RISK_LOG[POST MITIGATION SCORE]&gt;=4,"MEDIUM",RISK_LOG[POST MITIGATION SCORE]&gt;=0,"LOW")</f>
        <v>#REF!</v>
      </c>
      <c r="S122" s="634"/>
      <c r="T122" s="635"/>
      <c r="U122" s="636"/>
      <c r="V122" s="637"/>
      <c r="W122" s="637"/>
    </row>
    <row r="123">
      <c r="A123" s="625"/>
      <c r="B123" s="626"/>
      <c r="C123" s="627"/>
      <c r="D123" s="628"/>
      <c r="E123" s="629"/>
      <c r="F123" s="629"/>
      <c r="G123" s="629"/>
      <c r="H123" s="629"/>
      <c r="I123" s="630"/>
      <c r="J123" s="631"/>
      <c r="K123" s="632"/>
      <c r="L123" s="632"/>
      <c r="M123" s="633">
        <f t="shared" si="1"/>
        <v>0</v>
      </c>
      <c r="N123" s="625"/>
      <c r="O123" s="634"/>
      <c r="P123" s="632"/>
      <c r="Q123" s="632"/>
      <c r="R123" s="633" t="str">
        <f t="array" ref="R123:R124">IFS(RISK_LOG[POST MITIGATION SCORE]=0,"",RISK_LOG[POST MITIGATION SCORE]&gt;=16,"CRITICAL",RISK_LOG[POST MITIGATION SCORE]&gt;=9,"HIGH",RISK_LOG[POST MITIGATION SCORE]&gt;=4,"MEDIUM",RISK_LOG[POST MITIGATION SCORE]&gt;=0,"LOW")</f>
        <v>#REF!</v>
      </c>
      <c r="S123" s="634"/>
      <c r="T123" s="635"/>
      <c r="U123" s="636"/>
      <c r="V123" s="637"/>
      <c r="W123" s="637"/>
    </row>
    <row r="124">
      <c r="A124" s="625"/>
      <c r="B124" s="626"/>
      <c r="C124" s="627"/>
      <c r="D124" s="628"/>
      <c r="E124" s="629"/>
      <c r="F124" s="629"/>
      <c r="G124" s="629"/>
      <c r="H124" s="629"/>
      <c r="I124" s="630"/>
      <c r="J124" s="631"/>
      <c r="K124" s="632"/>
      <c r="L124" s="632"/>
      <c r="M124" s="633">
        <f t="shared" si="1"/>
        <v>0</v>
      </c>
      <c r="N124" s="625"/>
      <c r="O124" s="634"/>
      <c r="P124" s="632"/>
      <c r="Q124" s="632"/>
      <c r="R124" s="633" t="str">
        <f t="array" ref="R124:R224">IFS(RISK_LOG[POST MITIGATION SCORE]=0,"",RISK_LOG[POST MITIGATION SCORE]&gt;=16,"CRITICAL",RISK_LOG[POST MITIGATION SCORE]&gt;=9,"HIGH",RISK_LOG[POST MITIGATION SCORE]&gt;=4,"MEDIUM",RISK_LOG[POST MITIGATION SCORE]&gt;=0,"LOW")</f>
        <v/>
      </c>
      <c r="S124" s="634"/>
      <c r="T124" s="635"/>
      <c r="U124" s="636"/>
      <c r="V124" s="637"/>
      <c r="W124" s="637"/>
    </row>
    <row r="125">
      <c r="A125" s="625"/>
      <c r="B125" s="626"/>
      <c r="C125" s="627"/>
      <c r="D125" s="628"/>
      <c r="E125" s="629"/>
      <c r="F125" s="629"/>
      <c r="G125" s="629"/>
      <c r="H125" s="629"/>
      <c r="I125" s="630"/>
      <c r="J125" s="631"/>
      <c r="K125" s="632"/>
      <c r="L125" s="632"/>
      <c r="M125" s="633"/>
      <c r="N125" s="625"/>
      <c r="O125" s="634"/>
      <c r="P125" s="632"/>
      <c r="Q125" s="632"/>
      <c r="R125" s="633" t="s">
        <v>1289</v>
      </c>
      <c r="S125" s="634"/>
      <c r="T125" s="635"/>
      <c r="U125" s="636"/>
      <c r="V125" s="637"/>
      <c r="W125" s="637"/>
    </row>
    <row r="126">
      <c r="A126" s="625"/>
      <c r="B126" s="626"/>
      <c r="C126" s="627"/>
      <c r="D126" s="628"/>
      <c r="E126" s="629"/>
      <c r="F126" s="629"/>
      <c r="G126" s="629"/>
      <c r="H126" s="629"/>
      <c r="I126" s="630"/>
      <c r="J126" s="631"/>
      <c r="K126" s="632"/>
      <c r="L126" s="632"/>
      <c r="M126" s="633"/>
      <c r="N126" s="625"/>
      <c r="O126" s="634"/>
      <c r="P126" s="632"/>
      <c r="Q126" s="632"/>
      <c r="R126" s="633" t="s">
        <v>1289</v>
      </c>
      <c r="S126" s="634"/>
      <c r="T126" s="635"/>
      <c r="U126" s="636"/>
      <c r="V126" s="637"/>
      <c r="W126" s="637"/>
    </row>
    <row r="127">
      <c r="A127" s="625"/>
      <c r="B127" s="626"/>
      <c r="C127" s="627"/>
      <c r="D127" s="628"/>
      <c r="E127" s="629"/>
      <c r="F127" s="629"/>
      <c r="G127" s="629"/>
      <c r="H127" s="629"/>
      <c r="I127" s="630"/>
      <c r="J127" s="631"/>
      <c r="K127" s="632"/>
      <c r="L127" s="632"/>
      <c r="M127" s="633"/>
      <c r="N127" s="625"/>
      <c r="O127" s="634"/>
      <c r="P127" s="632"/>
      <c r="Q127" s="632"/>
      <c r="R127" s="633" t="s">
        <v>1289</v>
      </c>
      <c r="S127" s="634"/>
      <c r="T127" s="635"/>
      <c r="U127" s="636"/>
      <c r="V127" s="637"/>
      <c r="W127" s="637"/>
    </row>
    <row r="128">
      <c r="A128" s="625"/>
      <c r="B128" s="626"/>
      <c r="C128" s="627"/>
      <c r="D128" s="628"/>
      <c r="E128" s="629"/>
      <c r="F128" s="629"/>
      <c r="G128" s="629"/>
      <c r="H128" s="629"/>
      <c r="I128" s="630"/>
      <c r="J128" s="631"/>
      <c r="K128" s="632"/>
      <c r="L128" s="632"/>
      <c r="M128" s="633"/>
      <c r="N128" s="625"/>
      <c r="O128" s="634"/>
      <c r="P128" s="632"/>
      <c r="Q128" s="632"/>
      <c r="R128" s="633" t="s">
        <v>1289</v>
      </c>
      <c r="S128" s="634"/>
      <c r="T128" s="635"/>
      <c r="U128" s="636"/>
      <c r="V128" s="637"/>
      <c r="W128" s="637"/>
    </row>
    <row r="129">
      <c r="A129" s="625"/>
      <c r="B129" s="626"/>
      <c r="C129" s="627"/>
      <c r="D129" s="628"/>
      <c r="E129" s="629"/>
      <c r="F129" s="629"/>
      <c r="G129" s="629"/>
      <c r="H129" s="629"/>
      <c r="I129" s="630"/>
      <c r="J129" s="631"/>
      <c r="K129" s="632"/>
      <c r="L129" s="632"/>
      <c r="M129" s="633"/>
      <c r="N129" s="625"/>
      <c r="O129" s="634"/>
      <c r="P129" s="632"/>
      <c r="Q129" s="632"/>
      <c r="R129" s="633" t="s">
        <v>1289</v>
      </c>
      <c r="S129" s="634"/>
      <c r="T129" s="635"/>
      <c r="U129" s="636"/>
      <c r="V129" s="637"/>
      <c r="W129" s="637"/>
    </row>
    <row r="130">
      <c r="A130" s="625"/>
      <c r="B130" s="626"/>
      <c r="C130" s="627"/>
      <c r="D130" s="628"/>
      <c r="E130" s="629"/>
      <c r="F130" s="629"/>
      <c r="G130" s="629"/>
      <c r="H130" s="629"/>
      <c r="I130" s="630"/>
      <c r="J130" s="631"/>
      <c r="K130" s="632"/>
      <c r="L130" s="632"/>
      <c r="M130" s="633"/>
      <c r="N130" s="625"/>
      <c r="O130" s="634"/>
      <c r="P130" s="632"/>
      <c r="Q130" s="632"/>
      <c r="R130" s="633" t="s">
        <v>1289</v>
      </c>
      <c r="S130" s="634"/>
      <c r="T130" s="635"/>
      <c r="U130" s="636"/>
      <c r="V130" s="637"/>
      <c r="W130" s="637"/>
    </row>
    <row r="131">
      <c r="A131" s="625"/>
      <c r="B131" s="626"/>
      <c r="C131" s="627"/>
      <c r="D131" s="628"/>
      <c r="E131" s="629"/>
      <c r="F131" s="629"/>
      <c r="G131" s="629"/>
      <c r="H131" s="629"/>
      <c r="I131" s="630"/>
      <c r="J131" s="631"/>
      <c r="K131" s="632"/>
      <c r="L131" s="632"/>
      <c r="M131" s="633"/>
      <c r="N131" s="625"/>
      <c r="O131" s="634"/>
      <c r="P131" s="632"/>
      <c r="Q131" s="632"/>
      <c r="R131" s="633" t="s">
        <v>1289</v>
      </c>
      <c r="S131" s="634"/>
      <c r="T131" s="635"/>
      <c r="U131" s="636"/>
      <c r="V131" s="637"/>
      <c r="W131" s="637"/>
    </row>
    <row r="132">
      <c r="A132" s="625"/>
      <c r="B132" s="626"/>
      <c r="C132" s="627"/>
      <c r="D132" s="628"/>
      <c r="E132" s="629"/>
      <c r="F132" s="629"/>
      <c r="G132" s="629"/>
      <c r="H132" s="629"/>
      <c r="I132" s="630"/>
      <c r="J132" s="631"/>
      <c r="K132" s="632"/>
      <c r="L132" s="632"/>
      <c r="M132" s="633"/>
      <c r="N132" s="625"/>
      <c r="O132" s="634"/>
      <c r="P132" s="632"/>
      <c r="Q132" s="632"/>
      <c r="R132" s="633" t="s">
        <v>1289</v>
      </c>
      <c r="S132" s="634"/>
      <c r="T132" s="635"/>
      <c r="U132" s="636"/>
      <c r="V132" s="637"/>
      <c r="W132" s="637"/>
    </row>
    <row r="133">
      <c r="A133" s="625"/>
      <c r="B133" s="626"/>
      <c r="C133" s="627"/>
      <c r="D133" s="628"/>
      <c r="E133" s="629"/>
      <c r="F133" s="629"/>
      <c r="G133" s="629"/>
      <c r="H133" s="629"/>
      <c r="I133" s="630"/>
      <c r="J133" s="631"/>
      <c r="K133" s="632"/>
      <c r="L133" s="632"/>
      <c r="M133" s="633"/>
      <c r="N133" s="625"/>
      <c r="O133" s="634"/>
      <c r="P133" s="632"/>
      <c r="Q133" s="632"/>
      <c r="R133" s="633" t="s">
        <v>1289</v>
      </c>
      <c r="S133" s="634"/>
      <c r="T133" s="635"/>
      <c r="U133" s="636"/>
      <c r="V133" s="637"/>
      <c r="W133" s="637"/>
    </row>
    <row r="134">
      <c r="A134" s="625"/>
      <c r="B134" s="626"/>
      <c r="C134" s="627"/>
      <c r="D134" s="628"/>
      <c r="E134" s="629"/>
      <c r="F134" s="629"/>
      <c r="G134" s="629"/>
      <c r="H134" s="629"/>
      <c r="I134" s="630"/>
      <c r="J134" s="631"/>
      <c r="K134" s="632"/>
      <c r="L134" s="632"/>
      <c r="M134" s="633"/>
      <c r="N134" s="625"/>
      <c r="O134" s="634"/>
      <c r="P134" s="632"/>
      <c r="Q134" s="632"/>
      <c r="R134" s="633" t="s">
        <v>1289</v>
      </c>
      <c r="S134" s="634"/>
      <c r="T134" s="635"/>
      <c r="U134" s="636"/>
      <c r="V134" s="637"/>
      <c r="W134" s="637"/>
    </row>
    <row r="135">
      <c r="A135" s="625"/>
      <c r="B135" s="626"/>
      <c r="C135" s="627"/>
      <c r="D135" s="628"/>
      <c r="E135" s="629"/>
      <c r="F135" s="629"/>
      <c r="G135" s="629"/>
      <c r="H135" s="629"/>
      <c r="I135" s="630"/>
      <c r="J135" s="631"/>
      <c r="K135" s="632"/>
      <c r="L135" s="632"/>
      <c r="M135" s="633"/>
      <c r="N135" s="625"/>
      <c r="O135" s="634"/>
      <c r="P135" s="632"/>
      <c r="Q135" s="632"/>
      <c r="R135" s="633" t="s">
        <v>1289</v>
      </c>
      <c r="S135" s="634"/>
      <c r="T135" s="635"/>
      <c r="U135" s="636"/>
      <c r="V135" s="637"/>
      <c r="W135" s="637"/>
    </row>
    <row r="136">
      <c r="A136" s="625"/>
      <c r="B136" s="626"/>
      <c r="C136" s="627"/>
      <c r="D136" s="628"/>
      <c r="E136" s="629"/>
      <c r="F136" s="629"/>
      <c r="G136" s="629"/>
      <c r="H136" s="629"/>
      <c r="I136" s="630"/>
      <c r="J136" s="631"/>
      <c r="K136" s="632"/>
      <c r="L136" s="632"/>
      <c r="M136" s="633"/>
      <c r="N136" s="625"/>
      <c r="O136" s="634"/>
      <c r="P136" s="632"/>
      <c r="Q136" s="632"/>
      <c r="R136" s="633" t="s">
        <v>1289</v>
      </c>
      <c r="S136" s="634"/>
      <c r="T136" s="635"/>
      <c r="U136" s="636"/>
      <c r="V136" s="637"/>
      <c r="W136" s="637"/>
    </row>
    <row r="137">
      <c r="A137" s="625"/>
      <c r="B137" s="626"/>
      <c r="C137" s="627"/>
      <c r="D137" s="628"/>
      <c r="E137" s="629"/>
      <c r="F137" s="629"/>
      <c r="G137" s="629"/>
      <c r="H137" s="629"/>
      <c r="I137" s="630"/>
      <c r="J137" s="631"/>
      <c r="K137" s="632"/>
      <c r="L137" s="632"/>
      <c r="M137" s="633"/>
      <c r="N137" s="625"/>
      <c r="O137" s="634"/>
      <c r="P137" s="632"/>
      <c r="Q137" s="632"/>
      <c r="R137" s="633" t="s">
        <v>1289</v>
      </c>
      <c r="S137" s="634"/>
      <c r="T137" s="635"/>
      <c r="U137" s="636"/>
      <c r="V137" s="637"/>
      <c r="W137" s="637"/>
    </row>
    <row r="138">
      <c r="A138" s="625"/>
      <c r="B138" s="626"/>
      <c r="C138" s="627"/>
      <c r="D138" s="628"/>
      <c r="E138" s="629"/>
      <c r="F138" s="629"/>
      <c r="G138" s="629"/>
      <c r="H138" s="629"/>
      <c r="I138" s="630"/>
      <c r="J138" s="631"/>
      <c r="K138" s="632"/>
      <c r="L138" s="632"/>
      <c r="M138" s="633"/>
      <c r="N138" s="625"/>
      <c r="O138" s="634"/>
      <c r="P138" s="632"/>
      <c r="Q138" s="632"/>
      <c r="R138" s="633" t="s">
        <v>1289</v>
      </c>
      <c r="S138" s="634"/>
      <c r="T138" s="635"/>
      <c r="U138" s="636"/>
      <c r="V138" s="637"/>
      <c r="W138" s="637"/>
    </row>
    <row r="139">
      <c r="A139" s="625"/>
      <c r="B139" s="626"/>
      <c r="C139" s="627"/>
      <c r="D139" s="628"/>
      <c r="E139" s="629"/>
      <c r="F139" s="629"/>
      <c r="G139" s="629"/>
      <c r="H139" s="629"/>
      <c r="I139" s="630"/>
      <c r="J139" s="631"/>
      <c r="K139" s="632"/>
      <c r="L139" s="632"/>
      <c r="M139" s="633"/>
      <c r="N139" s="625"/>
      <c r="O139" s="634"/>
      <c r="P139" s="632"/>
      <c r="Q139" s="632"/>
      <c r="R139" s="633" t="s">
        <v>1289</v>
      </c>
      <c r="S139" s="634"/>
      <c r="T139" s="635"/>
      <c r="U139" s="636"/>
      <c r="V139" s="637"/>
      <c r="W139" s="637"/>
    </row>
    <row r="140">
      <c r="A140" s="625"/>
      <c r="B140" s="626"/>
      <c r="C140" s="627"/>
      <c r="D140" s="628"/>
      <c r="E140" s="629"/>
      <c r="F140" s="629"/>
      <c r="G140" s="629"/>
      <c r="H140" s="629"/>
      <c r="I140" s="630"/>
      <c r="J140" s="631"/>
      <c r="K140" s="632"/>
      <c r="L140" s="632"/>
      <c r="M140" s="633"/>
      <c r="N140" s="625"/>
      <c r="O140" s="634"/>
      <c r="P140" s="632"/>
      <c r="Q140" s="632"/>
      <c r="R140" s="633" t="s">
        <v>1289</v>
      </c>
      <c r="S140" s="634"/>
      <c r="T140" s="635"/>
      <c r="U140" s="636"/>
      <c r="V140" s="637"/>
      <c r="W140" s="637"/>
    </row>
    <row r="141">
      <c r="A141" s="625"/>
      <c r="B141" s="626"/>
      <c r="C141" s="627"/>
      <c r="D141" s="628"/>
      <c r="E141" s="629"/>
      <c r="F141" s="629"/>
      <c r="G141" s="629"/>
      <c r="H141" s="629"/>
      <c r="I141" s="630"/>
      <c r="J141" s="631"/>
      <c r="K141" s="632"/>
      <c r="L141" s="632"/>
      <c r="M141" s="633"/>
      <c r="N141" s="625"/>
      <c r="O141" s="634"/>
      <c r="P141" s="632"/>
      <c r="Q141" s="632"/>
      <c r="R141" s="633" t="s">
        <v>1289</v>
      </c>
      <c r="S141" s="634"/>
      <c r="T141" s="635"/>
      <c r="U141" s="636"/>
      <c r="V141" s="637"/>
      <c r="W141" s="637"/>
    </row>
    <row r="142">
      <c r="A142" s="625"/>
      <c r="B142" s="626"/>
      <c r="C142" s="627"/>
      <c r="D142" s="628"/>
      <c r="E142" s="629"/>
      <c r="F142" s="629"/>
      <c r="G142" s="629"/>
      <c r="H142" s="629"/>
      <c r="I142" s="630"/>
      <c r="J142" s="631"/>
      <c r="K142" s="632"/>
      <c r="L142" s="632"/>
      <c r="M142" s="633"/>
      <c r="N142" s="625"/>
      <c r="O142" s="634"/>
      <c r="P142" s="632"/>
      <c r="Q142" s="632"/>
      <c r="R142" s="633" t="s">
        <v>1289</v>
      </c>
      <c r="S142" s="634"/>
      <c r="T142" s="635"/>
      <c r="U142" s="636"/>
      <c r="V142" s="637"/>
      <c r="W142" s="637"/>
    </row>
    <row r="143">
      <c r="A143" s="625"/>
      <c r="B143" s="626"/>
      <c r="C143" s="627"/>
      <c r="D143" s="628"/>
      <c r="E143" s="629"/>
      <c r="F143" s="629"/>
      <c r="G143" s="629"/>
      <c r="H143" s="629"/>
      <c r="I143" s="630"/>
      <c r="J143" s="631"/>
      <c r="K143" s="632"/>
      <c r="L143" s="632"/>
      <c r="M143" s="633"/>
      <c r="N143" s="625"/>
      <c r="O143" s="634"/>
      <c r="P143" s="632"/>
      <c r="Q143" s="632"/>
      <c r="R143" s="633" t="s">
        <v>1289</v>
      </c>
      <c r="S143" s="634"/>
      <c r="T143" s="635"/>
      <c r="U143" s="636"/>
      <c r="V143" s="637"/>
      <c r="W143" s="637"/>
    </row>
    <row r="144">
      <c r="A144" s="625"/>
      <c r="B144" s="626"/>
      <c r="C144" s="627"/>
      <c r="D144" s="628"/>
      <c r="E144" s="629"/>
      <c r="F144" s="629"/>
      <c r="G144" s="629"/>
      <c r="H144" s="629"/>
      <c r="I144" s="630"/>
      <c r="J144" s="631"/>
      <c r="K144" s="632"/>
      <c r="L144" s="632"/>
      <c r="M144" s="633"/>
      <c r="N144" s="625"/>
      <c r="O144" s="634"/>
      <c r="P144" s="632"/>
      <c r="Q144" s="632"/>
      <c r="R144" s="633" t="s">
        <v>1289</v>
      </c>
      <c r="S144" s="634"/>
      <c r="T144" s="635"/>
      <c r="U144" s="636"/>
      <c r="V144" s="637"/>
      <c r="W144" s="637"/>
    </row>
    <row r="145">
      <c r="A145" s="625"/>
      <c r="B145" s="626"/>
      <c r="C145" s="627"/>
      <c r="D145" s="628"/>
      <c r="E145" s="629"/>
      <c r="F145" s="629"/>
      <c r="G145" s="629"/>
      <c r="H145" s="629"/>
      <c r="I145" s="630"/>
      <c r="J145" s="631"/>
      <c r="K145" s="632"/>
      <c r="L145" s="632"/>
      <c r="M145" s="633"/>
      <c r="N145" s="625"/>
      <c r="O145" s="634"/>
      <c r="P145" s="632"/>
      <c r="Q145" s="632"/>
      <c r="R145" s="633" t="s">
        <v>1289</v>
      </c>
      <c r="S145" s="634"/>
      <c r="T145" s="635"/>
      <c r="U145" s="636"/>
      <c r="V145" s="637"/>
      <c r="W145" s="637"/>
    </row>
    <row r="146">
      <c r="A146" s="625"/>
      <c r="B146" s="626"/>
      <c r="C146" s="627"/>
      <c r="D146" s="628"/>
      <c r="E146" s="629"/>
      <c r="F146" s="629"/>
      <c r="G146" s="629"/>
      <c r="H146" s="629"/>
      <c r="I146" s="630"/>
      <c r="J146" s="631"/>
      <c r="K146" s="632"/>
      <c r="L146" s="632"/>
      <c r="M146" s="633"/>
      <c r="N146" s="625"/>
      <c r="O146" s="634"/>
      <c r="P146" s="632"/>
      <c r="Q146" s="632"/>
      <c r="R146" s="633" t="s">
        <v>1289</v>
      </c>
      <c r="S146" s="634"/>
      <c r="T146" s="635"/>
      <c r="U146" s="636"/>
      <c r="V146" s="637"/>
      <c r="W146" s="637"/>
    </row>
    <row r="147">
      <c r="A147" s="625"/>
      <c r="B147" s="626"/>
      <c r="C147" s="627"/>
      <c r="D147" s="628"/>
      <c r="E147" s="629"/>
      <c r="F147" s="629"/>
      <c r="G147" s="629"/>
      <c r="H147" s="629"/>
      <c r="I147" s="630"/>
      <c r="J147" s="631"/>
      <c r="K147" s="632"/>
      <c r="L147" s="632"/>
      <c r="M147" s="633"/>
      <c r="N147" s="625"/>
      <c r="O147" s="634"/>
      <c r="P147" s="632"/>
      <c r="Q147" s="632"/>
      <c r="R147" s="633" t="s">
        <v>1289</v>
      </c>
      <c r="S147" s="634"/>
      <c r="T147" s="635"/>
      <c r="U147" s="636"/>
      <c r="V147" s="637"/>
      <c r="W147" s="637"/>
    </row>
    <row r="148">
      <c r="A148" s="625"/>
      <c r="B148" s="626"/>
      <c r="C148" s="627"/>
      <c r="D148" s="628"/>
      <c r="E148" s="629"/>
      <c r="F148" s="629"/>
      <c r="G148" s="629"/>
      <c r="H148" s="629"/>
      <c r="I148" s="630"/>
      <c r="J148" s="631"/>
      <c r="K148" s="632"/>
      <c r="L148" s="632"/>
      <c r="M148" s="633"/>
      <c r="N148" s="625"/>
      <c r="O148" s="634"/>
      <c r="P148" s="632"/>
      <c r="Q148" s="632"/>
      <c r="R148" s="633" t="s">
        <v>1289</v>
      </c>
      <c r="S148" s="634"/>
      <c r="T148" s="635"/>
      <c r="U148" s="636"/>
      <c r="V148" s="637"/>
      <c r="W148" s="637"/>
    </row>
    <row r="149">
      <c r="A149" s="625"/>
      <c r="B149" s="626"/>
      <c r="C149" s="627"/>
      <c r="D149" s="628"/>
      <c r="E149" s="629"/>
      <c r="F149" s="629"/>
      <c r="G149" s="629"/>
      <c r="H149" s="629"/>
      <c r="I149" s="630"/>
      <c r="J149" s="631"/>
      <c r="K149" s="632"/>
      <c r="L149" s="632"/>
      <c r="M149" s="633"/>
      <c r="N149" s="625"/>
      <c r="O149" s="634"/>
      <c r="P149" s="632"/>
      <c r="Q149" s="632"/>
      <c r="R149" s="633" t="s">
        <v>1289</v>
      </c>
      <c r="S149" s="634"/>
      <c r="T149" s="635"/>
      <c r="U149" s="636"/>
      <c r="V149" s="637"/>
      <c r="W149" s="637"/>
    </row>
    <row r="150">
      <c r="A150" s="625"/>
      <c r="B150" s="626"/>
      <c r="C150" s="627"/>
      <c r="D150" s="628"/>
      <c r="E150" s="629"/>
      <c r="F150" s="629"/>
      <c r="G150" s="629"/>
      <c r="H150" s="629"/>
      <c r="I150" s="630"/>
      <c r="J150" s="631"/>
      <c r="K150" s="632"/>
      <c r="L150" s="632"/>
      <c r="M150" s="633"/>
      <c r="N150" s="625"/>
      <c r="O150" s="634"/>
      <c r="P150" s="632"/>
      <c r="Q150" s="632"/>
      <c r="R150" s="633" t="s">
        <v>1289</v>
      </c>
      <c r="S150" s="634"/>
      <c r="T150" s="635"/>
      <c r="U150" s="636"/>
      <c r="V150" s="637"/>
      <c r="W150" s="637"/>
    </row>
    <row r="151">
      <c r="A151" s="625"/>
      <c r="B151" s="626"/>
      <c r="C151" s="627"/>
      <c r="D151" s="628"/>
      <c r="E151" s="629"/>
      <c r="F151" s="629"/>
      <c r="G151" s="629"/>
      <c r="H151" s="629"/>
      <c r="I151" s="630"/>
      <c r="J151" s="631"/>
      <c r="K151" s="632"/>
      <c r="L151" s="632"/>
      <c r="M151" s="633"/>
      <c r="N151" s="625"/>
      <c r="O151" s="634"/>
      <c r="P151" s="632"/>
      <c r="Q151" s="632"/>
      <c r="R151" s="633" t="s">
        <v>1289</v>
      </c>
      <c r="S151" s="634"/>
      <c r="T151" s="635"/>
      <c r="U151" s="636"/>
      <c r="V151" s="637"/>
      <c r="W151" s="637"/>
    </row>
    <row r="152">
      <c r="A152" s="625"/>
      <c r="B152" s="626"/>
      <c r="C152" s="627"/>
      <c r="D152" s="628"/>
      <c r="E152" s="629"/>
      <c r="F152" s="629"/>
      <c r="G152" s="629"/>
      <c r="H152" s="629"/>
      <c r="I152" s="630"/>
      <c r="J152" s="631"/>
      <c r="K152" s="632"/>
      <c r="L152" s="632"/>
      <c r="M152" s="633"/>
      <c r="N152" s="625"/>
      <c r="O152" s="634"/>
      <c r="P152" s="632"/>
      <c r="Q152" s="632"/>
      <c r="R152" s="633" t="s">
        <v>1289</v>
      </c>
      <c r="S152" s="634"/>
      <c r="T152" s="635"/>
      <c r="U152" s="636"/>
      <c r="V152" s="637"/>
      <c r="W152" s="637"/>
    </row>
    <row r="153">
      <c r="A153" s="625"/>
      <c r="B153" s="626"/>
      <c r="C153" s="627"/>
      <c r="D153" s="628"/>
      <c r="E153" s="629"/>
      <c r="F153" s="629"/>
      <c r="G153" s="629"/>
      <c r="H153" s="629"/>
      <c r="I153" s="630"/>
      <c r="J153" s="631"/>
      <c r="K153" s="632"/>
      <c r="L153" s="632"/>
      <c r="M153" s="633"/>
      <c r="N153" s="625"/>
      <c r="O153" s="634"/>
      <c r="P153" s="632"/>
      <c r="Q153" s="632"/>
      <c r="R153" s="633" t="s">
        <v>1289</v>
      </c>
      <c r="S153" s="634"/>
      <c r="T153" s="635"/>
      <c r="U153" s="636"/>
      <c r="V153" s="637"/>
      <c r="W153" s="637"/>
    </row>
    <row r="154">
      <c r="A154" s="625"/>
      <c r="B154" s="626"/>
      <c r="C154" s="627"/>
      <c r="D154" s="628"/>
      <c r="E154" s="629"/>
      <c r="F154" s="629"/>
      <c r="G154" s="629"/>
      <c r="H154" s="629"/>
      <c r="I154" s="630"/>
      <c r="J154" s="631"/>
      <c r="K154" s="632"/>
      <c r="L154" s="632"/>
      <c r="M154" s="633"/>
      <c r="N154" s="625"/>
      <c r="O154" s="634"/>
      <c r="P154" s="632"/>
      <c r="Q154" s="632"/>
      <c r="R154" s="633" t="s">
        <v>1289</v>
      </c>
      <c r="S154" s="634"/>
      <c r="T154" s="635"/>
      <c r="U154" s="636"/>
      <c r="V154" s="637"/>
      <c r="W154" s="637"/>
    </row>
    <row r="155">
      <c r="A155" s="625"/>
      <c r="B155" s="626"/>
      <c r="C155" s="627"/>
      <c r="D155" s="628"/>
      <c r="E155" s="629"/>
      <c r="F155" s="629"/>
      <c r="G155" s="629"/>
      <c r="H155" s="629"/>
      <c r="I155" s="630"/>
      <c r="J155" s="631"/>
      <c r="K155" s="632"/>
      <c r="L155" s="632"/>
      <c r="M155" s="633"/>
      <c r="N155" s="625"/>
      <c r="O155" s="634"/>
      <c r="P155" s="632"/>
      <c r="Q155" s="632"/>
      <c r="R155" s="633" t="s">
        <v>1289</v>
      </c>
      <c r="S155" s="634"/>
      <c r="T155" s="635"/>
      <c r="U155" s="636"/>
      <c r="V155" s="637"/>
      <c r="W155" s="637"/>
    </row>
    <row r="156">
      <c r="A156" s="625"/>
      <c r="B156" s="626"/>
      <c r="C156" s="627"/>
      <c r="D156" s="628"/>
      <c r="E156" s="629"/>
      <c r="F156" s="629"/>
      <c r="G156" s="629"/>
      <c r="H156" s="629"/>
      <c r="I156" s="630"/>
      <c r="J156" s="631"/>
      <c r="K156" s="632"/>
      <c r="L156" s="632"/>
      <c r="M156" s="633"/>
      <c r="N156" s="625"/>
      <c r="O156" s="634"/>
      <c r="P156" s="632"/>
      <c r="Q156" s="632"/>
      <c r="R156" s="633" t="s">
        <v>1289</v>
      </c>
      <c r="S156" s="634"/>
      <c r="T156" s="635"/>
      <c r="U156" s="636"/>
      <c r="V156" s="637"/>
      <c r="W156" s="637"/>
    </row>
    <row r="157">
      <c r="A157" s="625"/>
      <c r="B157" s="626"/>
      <c r="C157" s="627"/>
      <c r="D157" s="628"/>
      <c r="E157" s="629"/>
      <c r="F157" s="629"/>
      <c r="G157" s="629"/>
      <c r="H157" s="629"/>
      <c r="I157" s="630"/>
      <c r="J157" s="631"/>
      <c r="K157" s="632"/>
      <c r="L157" s="632"/>
      <c r="M157" s="633"/>
      <c r="N157" s="625"/>
      <c r="O157" s="634"/>
      <c r="P157" s="632"/>
      <c r="Q157" s="632"/>
      <c r="R157" s="633" t="s">
        <v>1289</v>
      </c>
      <c r="S157" s="634"/>
      <c r="T157" s="635"/>
      <c r="U157" s="636"/>
      <c r="V157" s="637"/>
      <c r="W157" s="637"/>
    </row>
    <row r="158">
      <c r="A158" s="625"/>
      <c r="B158" s="626"/>
      <c r="C158" s="627"/>
      <c r="D158" s="628"/>
      <c r="E158" s="629"/>
      <c r="F158" s="629"/>
      <c r="G158" s="629"/>
      <c r="H158" s="629"/>
      <c r="I158" s="630"/>
      <c r="J158" s="631"/>
      <c r="K158" s="632"/>
      <c r="L158" s="632"/>
      <c r="M158" s="633"/>
      <c r="N158" s="625"/>
      <c r="O158" s="634"/>
      <c r="P158" s="632"/>
      <c r="Q158" s="632"/>
      <c r="R158" s="633" t="s">
        <v>1289</v>
      </c>
      <c r="S158" s="634"/>
      <c r="T158" s="635"/>
      <c r="U158" s="636"/>
      <c r="V158" s="637"/>
      <c r="W158" s="637"/>
    </row>
    <row r="159">
      <c r="A159" s="625"/>
      <c r="B159" s="626"/>
      <c r="C159" s="627"/>
      <c r="D159" s="628"/>
      <c r="E159" s="629"/>
      <c r="F159" s="629"/>
      <c r="G159" s="629"/>
      <c r="H159" s="629"/>
      <c r="I159" s="630"/>
      <c r="J159" s="631"/>
      <c r="K159" s="632"/>
      <c r="L159" s="632"/>
      <c r="M159" s="633"/>
      <c r="N159" s="625"/>
      <c r="O159" s="634"/>
      <c r="P159" s="632"/>
      <c r="Q159" s="632"/>
      <c r="R159" s="633" t="s">
        <v>1289</v>
      </c>
      <c r="S159" s="634"/>
      <c r="T159" s="635"/>
      <c r="U159" s="636"/>
      <c r="V159" s="637"/>
      <c r="W159" s="637"/>
    </row>
    <row r="160">
      <c r="A160" s="625"/>
      <c r="B160" s="626"/>
      <c r="C160" s="627"/>
      <c r="D160" s="628"/>
      <c r="E160" s="629"/>
      <c r="F160" s="629"/>
      <c r="G160" s="629"/>
      <c r="H160" s="629"/>
      <c r="I160" s="630"/>
      <c r="J160" s="631"/>
      <c r="K160" s="632"/>
      <c r="L160" s="632"/>
      <c r="M160" s="633"/>
      <c r="N160" s="625"/>
      <c r="O160" s="634"/>
      <c r="P160" s="632"/>
      <c r="Q160" s="632"/>
      <c r="R160" s="633" t="s">
        <v>1289</v>
      </c>
      <c r="S160" s="634"/>
      <c r="T160" s="635"/>
      <c r="U160" s="636"/>
      <c r="V160" s="637"/>
      <c r="W160" s="637"/>
    </row>
    <row r="161">
      <c r="A161" s="625"/>
      <c r="B161" s="626"/>
      <c r="C161" s="627"/>
      <c r="D161" s="628"/>
      <c r="E161" s="629"/>
      <c r="F161" s="629"/>
      <c r="G161" s="629"/>
      <c r="H161" s="629"/>
      <c r="I161" s="630"/>
      <c r="J161" s="631"/>
      <c r="K161" s="632"/>
      <c r="L161" s="632"/>
      <c r="M161" s="633"/>
      <c r="N161" s="625"/>
      <c r="O161" s="634"/>
      <c r="P161" s="632"/>
      <c r="Q161" s="632"/>
      <c r="R161" s="633" t="s">
        <v>1289</v>
      </c>
      <c r="S161" s="634"/>
      <c r="T161" s="635"/>
      <c r="U161" s="636"/>
      <c r="V161" s="637"/>
      <c r="W161" s="637"/>
    </row>
    <row r="162">
      <c r="A162" s="625"/>
      <c r="B162" s="626"/>
      <c r="C162" s="627"/>
      <c r="D162" s="628"/>
      <c r="E162" s="629"/>
      <c r="F162" s="629"/>
      <c r="G162" s="629"/>
      <c r="H162" s="629"/>
      <c r="I162" s="630"/>
      <c r="J162" s="631"/>
      <c r="K162" s="632"/>
      <c r="L162" s="632"/>
      <c r="M162" s="633"/>
      <c r="N162" s="625"/>
      <c r="O162" s="634"/>
      <c r="P162" s="632"/>
      <c r="Q162" s="632"/>
      <c r="R162" s="633" t="s">
        <v>1289</v>
      </c>
      <c r="S162" s="634"/>
      <c r="T162" s="635"/>
      <c r="U162" s="636"/>
      <c r="V162" s="637"/>
      <c r="W162" s="637"/>
    </row>
    <row r="163">
      <c r="A163" s="625"/>
      <c r="B163" s="626"/>
      <c r="C163" s="627"/>
      <c r="D163" s="628"/>
      <c r="E163" s="629"/>
      <c r="F163" s="629"/>
      <c r="G163" s="629"/>
      <c r="H163" s="629"/>
      <c r="I163" s="630"/>
      <c r="J163" s="631"/>
      <c r="K163" s="632"/>
      <c r="L163" s="632"/>
      <c r="M163" s="633"/>
      <c r="N163" s="625"/>
      <c r="O163" s="634"/>
      <c r="P163" s="632"/>
      <c r="Q163" s="632"/>
      <c r="R163" s="633" t="s">
        <v>1289</v>
      </c>
      <c r="S163" s="634"/>
      <c r="T163" s="635"/>
      <c r="U163" s="636"/>
      <c r="V163" s="637"/>
      <c r="W163" s="637"/>
    </row>
    <row r="164">
      <c r="A164" s="625"/>
      <c r="B164" s="626"/>
      <c r="C164" s="627"/>
      <c r="D164" s="628"/>
      <c r="E164" s="629"/>
      <c r="F164" s="629"/>
      <c r="G164" s="629"/>
      <c r="H164" s="629"/>
      <c r="I164" s="630"/>
      <c r="J164" s="631"/>
      <c r="K164" s="632"/>
      <c r="L164" s="632"/>
      <c r="M164" s="633"/>
      <c r="N164" s="625"/>
      <c r="O164" s="634"/>
      <c r="P164" s="632"/>
      <c r="Q164" s="632"/>
      <c r="R164" s="633" t="s">
        <v>1289</v>
      </c>
      <c r="S164" s="634"/>
      <c r="T164" s="635"/>
      <c r="U164" s="636"/>
      <c r="V164" s="637"/>
      <c r="W164" s="637"/>
    </row>
    <row r="165">
      <c r="A165" s="625"/>
      <c r="B165" s="626"/>
      <c r="C165" s="627"/>
      <c r="D165" s="628"/>
      <c r="E165" s="629"/>
      <c r="F165" s="629"/>
      <c r="G165" s="629"/>
      <c r="H165" s="629"/>
      <c r="I165" s="630"/>
      <c r="J165" s="631"/>
      <c r="K165" s="632"/>
      <c r="L165" s="632"/>
      <c r="M165" s="633"/>
      <c r="N165" s="625"/>
      <c r="O165" s="634"/>
      <c r="P165" s="632"/>
      <c r="Q165" s="632"/>
      <c r="R165" s="633" t="s">
        <v>1289</v>
      </c>
      <c r="S165" s="634"/>
      <c r="T165" s="635"/>
      <c r="U165" s="636"/>
      <c r="V165" s="637"/>
      <c r="W165" s="637"/>
    </row>
    <row r="166">
      <c r="A166" s="625"/>
      <c r="B166" s="626"/>
      <c r="C166" s="627"/>
      <c r="D166" s="628"/>
      <c r="E166" s="629"/>
      <c r="F166" s="629"/>
      <c r="G166" s="629"/>
      <c r="H166" s="629"/>
      <c r="I166" s="630"/>
      <c r="J166" s="631"/>
      <c r="K166" s="632"/>
      <c r="L166" s="632"/>
      <c r="M166" s="633"/>
      <c r="N166" s="625"/>
      <c r="O166" s="634"/>
      <c r="P166" s="632"/>
      <c r="Q166" s="632"/>
      <c r="R166" s="633" t="s">
        <v>1289</v>
      </c>
      <c r="S166" s="634"/>
      <c r="T166" s="635"/>
      <c r="U166" s="636"/>
      <c r="V166" s="637"/>
      <c r="W166" s="637"/>
    </row>
    <row r="167">
      <c r="A167" s="625"/>
      <c r="B167" s="626"/>
      <c r="C167" s="627"/>
      <c r="D167" s="628"/>
      <c r="E167" s="629"/>
      <c r="F167" s="629"/>
      <c r="G167" s="629"/>
      <c r="H167" s="629"/>
      <c r="I167" s="630"/>
      <c r="J167" s="631"/>
      <c r="K167" s="632"/>
      <c r="L167" s="632"/>
      <c r="M167" s="633"/>
      <c r="N167" s="625"/>
      <c r="O167" s="634"/>
      <c r="P167" s="632"/>
      <c r="Q167" s="632"/>
      <c r="R167" s="633" t="s">
        <v>1289</v>
      </c>
      <c r="S167" s="634"/>
      <c r="T167" s="635"/>
      <c r="U167" s="636"/>
      <c r="V167" s="637"/>
      <c r="W167" s="637"/>
    </row>
    <row r="168">
      <c r="A168" s="625"/>
      <c r="B168" s="626"/>
      <c r="C168" s="627"/>
      <c r="D168" s="628"/>
      <c r="E168" s="629"/>
      <c r="F168" s="629"/>
      <c r="G168" s="629"/>
      <c r="H168" s="629"/>
      <c r="I168" s="630"/>
      <c r="J168" s="631"/>
      <c r="K168" s="632"/>
      <c r="L168" s="632"/>
      <c r="M168" s="633"/>
      <c r="N168" s="625"/>
      <c r="O168" s="634"/>
      <c r="P168" s="632"/>
      <c r="Q168" s="632"/>
      <c r="R168" s="633" t="s">
        <v>1289</v>
      </c>
      <c r="S168" s="634"/>
      <c r="T168" s="635"/>
      <c r="U168" s="636"/>
      <c r="V168" s="637"/>
      <c r="W168" s="637"/>
    </row>
    <row r="169">
      <c r="A169" s="625"/>
      <c r="B169" s="626"/>
      <c r="C169" s="627"/>
      <c r="D169" s="628"/>
      <c r="E169" s="629"/>
      <c r="F169" s="629"/>
      <c r="G169" s="629"/>
      <c r="H169" s="629"/>
      <c r="I169" s="630"/>
      <c r="J169" s="631"/>
      <c r="K169" s="632"/>
      <c r="L169" s="632"/>
      <c r="M169" s="633"/>
      <c r="N169" s="625"/>
      <c r="O169" s="634"/>
      <c r="P169" s="632"/>
      <c r="Q169" s="632"/>
      <c r="R169" s="633" t="s">
        <v>1289</v>
      </c>
      <c r="S169" s="634"/>
      <c r="T169" s="635"/>
      <c r="U169" s="636"/>
      <c r="V169" s="637"/>
      <c r="W169" s="637"/>
    </row>
    <row r="170">
      <c r="A170" s="625"/>
      <c r="B170" s="626"/>
      <c r="C170" s="627"/>
      <c r="D170" s="628"/>
      <c r="E170" s="629"/>
      <c r="F170" s="629"/>
      <c r="G170" s="629"/>
      <c r="H170" s="629"/>
      <c r="I170" s="630"/>
      <c r="J170" s="631"/>
      <c r="K170" s="632"/>
      <c r="L170" s="632"/>
      <c r="M170" s="633"/>
      <c r="N170" s="625"/>
      <c r="O170" s="634"/>
      <c r="P170" s="632"/>
      <c r="Q170" s="632"/>
      <c r="R170" s="633" t="s">
        <v>1289</v>
      </c>
      <c r="S170" s="634"/>
      <c r="T170" s="635"/>
      <c r="U170" s="636"/>
      <c r="V170" s="637"/>
      <c r="W170" s="637"/>
    </row>
    <row r="171">
      <c r="A171" s="625"/>
      <c r="B171" s="626"/>
      <c r="C171" s="627"/>
      <c r="D171" s="628"/>
      <c r="E171" s="629"/>
      <c r="F171" s="629"/>
      <c r="G171" s="629"/>
      <c r="H171" s="629"/>
      <c r="I171" s="630"/>
      <c r="J171" s="631"/>
      <c r="K171" s="632"/>
      <c r="L171" s="632"/>
      <c r="M171" s="633"/>
      <c r="N171" s="625"/>
      <c r="O171" s="634"/>
      <c r="P171" s="632"/>
      <c r="Q171" s="632"/>
      <c r="R171" s="633" t="s">
        <v>1289</v>
      </c>
      <c r="S171" s="634"/>
      <c r="T171" s="635"/>
      <c r="U171" s="636"/>
      <c r="V171" s="637"/>
      <c r="W171" s="637"/>
    </row>
    <row r="172">
      <c r="A172" s="625"/>
      <c r="B172" s="626"/>
      <c r="C172" s="627"/>
      <c r="D172" s="628"/>
      <c r="E172" s="629"/>
      <c r="F172" s="629"/>
      <c r="G172" s="629"/>
      <c r="H172" s="629"/>
      <c r="I172" s="630"/>
      <c r="J172" s="631"/>
      <c r="K172" s="632"/>
      <c r="L172" s="632"/>
      <c r="M172" s="633"/>
      <c r="N172" s="625"/>
      <c r="O172" s="634"/>
      <c r="P172" s="632"/>
      <c r="Q172" s="632"/>
      <c r="R172" s="633" t="s">
        <v>1289</v>
      </c>
      <c r="S172" s="634"/>
      <c r="T172" s="635"/>
      <c r="U172" s="636"/>
      <c r="V172" s="637"/>
      <c r="W172" s="637"/>
    </row>
    <row r="173">
      <c r="A173" s="625"/>
      <c r="B173" s="626"/>
      <c r="C173" s="627"/>
      <c r="D173" s="628"/>
      <c r="E173" s="629"/>
      <c r="F173" s="629"/>
      <c r="G173" s="629"/>
      <c r="H173" s="629"/>
      <c r="I173" s="630"/>
      <c r="J173" s="631"/>
      <c r="K173" s="632"/>
      <c r="L173" s="632"/>
      <c r="M173" s="633"/>
      <c r="N173" s="625"/>
      <c r="O173" s="634"/>
      <c r="P173" s="632"/>
      <c r="Q173" s="632"/>
      <c r="R173" s="633" t="s">
        <v>1289</v>
      </c>
      <c r="S173" s="634"/>
      <c r="T173" s="635"/>
      <c r="U173" s="636"/>
      <c r="V173" s="637"/>
      <c r="W173" s="637"/>
    </row>
    <row r="174">
      <c r="A174" s="625"/>
      <c r="B174" s="626"/>
      <c r="C174" s="627"/>
      <c r="D174" s="628"/>
      <c r="E174" s="629"/>
      <c r="F174" s="629"/>
      <c r="G174" s="629"/>
      <c r="H174" s="629"/>
      <c r="I174" s="630"/>
      <c r="J174" s="631"/>
      <c r="K174" s="632"/>
      <c r="L174" s="632"/>
      <c r="M174" s="633"/>
      <c r="N174" s="625"/>
      <c r="O174" s="634"/>
      <c r="P174" s="632"/>
      <c r="Q174" s="632"/>
      <c r="R174" s="633" t="s">
        <v>1289</v>
      </c>
      <c r="S174" s="634"/>
      <c r="T174" s="635"/>
      <c r="U174" s="636"/>
      <c r="V174" s="637"/>
      <c r="W174" s="637"/>
    </row>
    <row r="175">
      <c r="A175" s="625"/>
      <c r="B175" s="626"/>
      <c r="C175" s="627"/>
      <c r="D175" s="628"/>
      <c r="E175" s="629"/>
      <c r="F175" s="629"/>
      <c r="G175" s="629"/>
      <c r="H175" s="629"/>
      <c r="I175" s="630"/>
      <c r="J175" s="631"/>
      <c r="K175" s="632"/>
      <c r="L175" s="632"/>
      <c r="M175" s="633"/>
      <c r="N175" s="625"/>
      <c r="O175" s="634"/>
      <c r="P175" s="632"/>
      <c r="Q175" s="632"/>
      <c r="R175" s="633" t="s">
        <v>1289</v>
      </c>
      <c r="S175" s="634"/>
      <c r="T175" s="635"/>
      <c r="U175" s="636"/>
      <c r="V175" s="637"/>
      <c r="W175" s="637"/>
    </row>
    <row r="176">
      <c r="A176" s="625"/>
      <c r="B176" s="626"/>
      <c r="C176" s="627"/>
      <c r="D176" s="628"/>
      <c r="E176" s="629"/>
      <c r="F176" s="629"/>
      <c r="G176" s="629"/>
      <c r="H176" s="629"/>
      <c r="I176" s="630"/>
      <c r="J176" s="631"/>
      <c r="K176" s="632"/>
      <c r="L176" s="632"/>
      <c r="M176" s="633"/>
      <c r="N176" s="625"/>
      <c r="O176" s="634"/>
      <c r="P176" s="632"/>
      <c r="Q176" s="632"/>
      <c r="R176" s="633" t="s">
        <v>1289</v>
      </c>
      <c r="S176" s="634"/>
      <c r="T176" s="635"/>
      <c r="U176" s="636"/>
      <c r="V176" s="637"/>
      <c r="W176" s="637"/>
    </row>
    <row r="177">
      <c r="A177" s="625"/>
      <c r="B177" s="626"/>
      <c r="C177" s="627"/>
      <c r="D177" s="628"/>
      <c r="E177" s="629"/>
      <c r="F177" s="629"/>
      <c r="G177" s="629"/>
      <c r="H177" s="629"/>
      <c r="I177" s="630"/>
      <c r="J177" s="631"/>
      <c r="K177" s="632"/>
      <c r="L177" s="632"/>
      <c r="M177" s="633"/>
      <c r="N177" s="625"/>
      <c r="O177" s="634"/>
      <c r="P177" s="632"/>
      <c r="Q177" s="632"/>
      <c r="R177" s="633" t="s">
        <v>1289</v>
      </c>
      <c r="S177" s="634"/>
      <c r="T177" s="635"/>
      <c r="U177" s="636"/>
      <c r="V177" s="637"/>
      <c r="W177" s="637"/>
    </row>
    <row r="178">
      <c r="A178" s="625"/>
      <c r="B178" s="626"/>
      <c r="C178" s="627"/>
      <c r="D178" s="628"/>
      <c r="E178" s="629"/>
      <c r="F178" s="629"/>
      <c r="G178" s="629"/>
      <c r="H178" s="629"/>
      <c r="I178" s="630"/>
      <c r="J178" s="631"/>
      <c r="K178" s="632"/>
      <c r="L178" s="632"/>
      <c r="M178" s="633"/>
      <c r="N178" s="625"/>
      <c r="O178" s="634"/>
      <c r="P178" s="632"/>
      <c r="Q178" s="632"/>
      <c r="R178" s="633" t="s">
        <v>1289</v>
      </c>
      <c r="S178" s="634"/>
      <c r="T178" s="635"/>
      <c r="U178" s="636"/>
      <c r="V178" s="637"/>
      <c r="W178" s="637"/>
    </row>
    <row r="179">
      <c r="A179" s="625"/>
      <c r="B179" s="626"/>
      <c r="C179" s="627"/>
      <c r="D179" s="628"/>
      <c r="E179" s="629"/>
      <c r="F179" s="629"/>
      <c r="G179" s="629"/>
      <c r="H179" s="629"/>
      <c r="I179" s="630"/>
      <c r="J179" s="631"/>
      <c r="K179" s="632"/>
      <c r="L179" s="632"/>
      <c r="M179" s="633"/>
      <c r="N179" s="625"/>
      <c r="O179" s="634"/>
      <c r="P179" s="632"/>
      <c r="Q179" s="632"/>
      <c r="R179" s="633" t="s">
        <v>1289</v>
      </c>
      <c r="S179" s="634"/>
      <c r="T179" s="635"/>
      <c r="U179" s="636"/>
      <c r="V179" s="637"/>
      <c r="W179" s="637"/>
    </row>
    <row r="180">
      <c r="A180" s="625"/>
      <c r="B180" s="626"/>
      <c r="C180" s="627"/>
      <c r="D180" s="628"/>
      <c r="E180" s="629"/>
      <c r="F180" s="629"/>
      <c r="G180" s="629"/>
      <c r="H180" s="629"/>
      <c r="I180" s="630"/>
      <c r="J180" s="631"/>
      <c r="K180" s="632"/>
      <c r="L180" s="632"/>
      <c r="M180" s="633"/>
      <c r="N180" s="625"/>
      <c r="O180" s="634"/>
      <c r="P180" s="632"/>
      <c r="Q180" s="632"/>
      <c r="R180" s="633" t="s">
        <v>1289</v>
      </c>
      <c r="S180" s="634"/>
      <c r="T180" s="635"/>
      <c r="U180" s="636"/>
      <c r="V180" s="637"/>
      <c r="W180" s="637"/>
    </row>
    <row r="181">
      <c r="A181" s="625"/>
      <c r="B181" s="626"/>
      <c r="C181" s="627"/>
      <c r="D181" s="628"/>
      <c r="E181" s="629"/>
      <c r="F181" s="629"/>
      <c r="G181" s="629"/>
      <c r="H181" s="629"/>
      <c r="I181" s="630"/>
      <c r="J181" s="631"/>
      <c r="K181" s="632"/>
      <c r="L181" s="632"/>
      <c r="M181" s="633"/>
      <c r="N181" s="625"/>
      <c r="O181" s="634"/>
      <c r="P181" s="632"/>
      <c r="Q181" s="632"/>
      <c r="R181" s="633" t="s">
        <v>1289</v>
      </c>
      <c r="S181" s="634"/>
      <c r="T181" s="635"/>
      <c r="U181" s="636"/>
      <c r="V181" s="637"/>
      <c r="W181" s="637"/>
    </row>
    <row r="182">
      <c r="A182" s="625"/>
      <c r="B182" s="626"/>
      <c r="C182" s="627"/>
      <c r="D182" s="628"/>
      <c r="E182" s="629"/>
      <c r="F182" s="629"/>
      <c r="G182" s="629"/>
      <c r="H182" s="629"/>
      <c r="I182" s="630"/>
      <c r="J182" s="631"/>
      <c r="K182" s="632"/>
      <c r="L182" s="632"/>
      <c r="M182" s="633"/>
      <c r="N182" s="625"/>
      <c r="O182" s="634"/>
      <c r="P182" s="632"/>
      <c r="Q182" s="632"/>
      <c r="R182" s="633" t="s">
        <v>1289</v>
      </c>
      <c r="S182" s="634"/>
      <c r="T182" s="635"/>
      <c r="U182" s="636"/>
      <c r="V182" s="637"/>
      <c r="W182" s="637"/>
    </row>
    <row r="183">
      <c r="A183" s="625"/>
      <c r="B183" s="626"/>
      <c r="C183" s="627"/>
      <c r="D183" s="628"/>
      <c r="E183" s="629"/>
      <c r="F183" s="629"/>
      <c r="G183" s="629"/>
      <c r="H183" s="629"/>
      <c r="I183" s="630"/>
      <c r="J183" s="631"/>
      <c r="K183" s="632"/>
      <c r="L183" s="632"/>
      <c r="M183" s="633"/>
      <c r="N183" s="625"/>
      <c r="O183" s="634"/>
      <c r="P183" s="632"/>
      <c r="Q183" s="632"/>
      <c r="R183" s="633" t="s">
        <v>1289</v>
      </c>
      <c r="S183" s="634"/>
      <c r="T183" s="635"/>
      <c r="U183" s="636"/>
      <c r="V183" s="637"/>
      <c r="W183" s="637"/>
    </row>
    <row r="184">
      <c r="A184" s="625"/>
      <c r="B184" s="626"/>
      <c r="C184" s="627"/>
      <c r="D184" s="628"/>
      <c r="E184" s="629"/>
      <c r="F184" s="629"/>
      <c r="G184" s="629"/>
      <c r="H184" s="629"/>
      <c r="I184" s="630"/>
      <c r="J184" s="631"/>
      <c r="K184" s="632"/>
      <c r="L184" s="632"/>
      <c r="M184" s="633"/>
      <c r="N184" s="625"/>
      <c r="O184" s="634"/>
      <c r="P184" s="632"/>
      <c r="Q184" s="632"/>
      <c r="R184" s="633" t="s">
        <v>1289</v>
      </c>
      <c r="S184" s="634"/>
      <c r="T184" s="635"/>
      <c r="U184" s="636"/>
      <c r="V184" s="637"/>
      <c r="W184" s="637"/>
    </row>
    <row r="185">
      <c r="A185" s="625"/>
      <c r="B185" s="626"/>
      <c r="C185" s="627"/>
      <c r="D185" s="628"/>
      <c r="E185" s="629"/>
      <c r="F185" s="629"/>
      <c r="G185" s="629"/>
      <c r="H185" s="629"/>
      <c r="I185" s="630"/>
      <c r="J185" s="631"/>
      <c r="K185" s="632"/>
      <c r="L185" s="632"/>
      <c r="M185" s="633"/>
      <c r="N185" s="625"/>
      <c r="O185" s="634"/>
      <c r="P185" s="632"/>
      <c r="Q185" s="632"/>
      <c r="R185" s="633" t="s">
        <v>1289</v>
      </c>
      <c r="S185" s="634"/>
      <c r="T185" s="635"/>
      <c r="U185" s="636"/>
      <c r="V185" s="637"/>
      <c r="W185" s="637"/>
    </row>
    <row r="186">
      <c r="A186" s="625"/>
      <c r="B186" s="626"/>
      <c r="C186" s="627"/>
      <c r="D186" s="628"/>
      <c r="E186" s="629"/>
      <c r="F186" s="629"/>
      <c r="G186" s="629"/>
      <c r="H186" s="629"/>
      <c r="I186" s="630"/>
      <c r="J186" s="631"/>
      <c r="K186" s="632"/>
      <c r="L186" s="632"/>
      <c r="M186" s="633"/>
      <c r="N186" s="625"/>
      <c r="O186" s="634"/>
      <c r="P186" s="632"/>
      <c r="Q186" s="632"/>
      <c r="R186" s="633" t="s">
        <v>1289</v>
      </c>
      <c r="S186" s="634"/>
      <c r="T186" s="635"/>
      <c r="U186" s="636"/>
      <c r="V186" s="637"/>
      <c r="W186" s="637"/>
    </row>
    <row r="187">
      <c r="A187" s="625"/>
      <c r="B187" s="626"/>
      <c r="C187" s="627"/>
      <c r="D187" s="628"/>
      <c r="E187" s="629"/>
      <c r="F187" s="629"/>
      <c r="G187" s="629"/>
      <c r="H187" s="629"/>
      <c r="I187" s="630"/>
      <c r="J187" s="631"/>
      <c r="K187" s="632"/>
      <c r="L187" s="632"/>
      <c r="M187" s="633"/>
      <c r="N187" s="625"/>
      <c r="O187" s="634"/>
      <c r="P187" s="632"/>
      <c r="Q187" s="632"/>
      <c r="R187" s="633" t="s">
        <v>1289</v>
      </c>
      <c r="S187" s="634"/>
      <c r="T187" s="635"/>
      <c r="U187" s="636"/>
      <c r="V187" s="637"/>
      <c r="W187" s="637"/>
    </row>
    <row r="188">
      <c r="A188" s="625"/>
      <c r="B188" s="626"/>
      <c r="C188" s="627"/>
      <c r="D188" s="628"/>
      <c r="E188" s="629"/>
      <c r="F188" s="629"/>
      <c r="G188" s="629"/>
      <c r="H188" s="629"/>
      <c r="I188" s="630"/>
      <c r="J188" s="631"/>
      <c r="K188" s="632"/>
      <c r="L188" s="632"/>
      <c r="M188" s="633"/>
      <c r="N188" s="625"/>
      <c r="O188" s="634"/>
      <c r="P188" s="632"/>
      <c r="Q188" s="632"/>
      <c r="R188" s="633" t="s">
        <v>1289</v>
      </c>
      <c r="S188" s="634"/>
      <c r="T188" s="635"/>
      <c r="U188" s="636"/>
      <c r="V188" s="637"/>
      <c r="W188" s="637"/>
    </row>
    <row r="189">
      <c r="A189" s="625"/>
      <c r="B189" s="626"/>
      <c r="C189" s="627"/>
      <c r="D189" s="628"/>
      <c r="E189" s="629"/>
      <c r="F189" s="629"/>
      <c r="G189" s="629"/>
      <c r="H189" s="629"/>
      <c r="I189" s="630"/>
      <c r="J189" s="631"/>
      <c r="K189" s="632"/>
      <c r="L189" s="632"/>
      <c r="M189" s="633"/>
      <c r="N189" s="625"/>
      <c r="O189" s="634"/>
      <c r="P189" s="632"/>
      <c r="Q189" s="632"/>
      <c r="R189" s="633" t="s">
        <v>1289</v>
      </c>
      <c r="S189" s="634"/>
      <c r="T189" s="635"/>
      <c r="U189" s="636"/>
      <c r="V189" s="637"/>
      <c r="W189" s="637"/>
    </row>
    <row r="190">
      <c r="A190" s="625"/>
      <c r="B190" s="626"/>
      <c r="C190" s="627"/>
      <c r="D190" s="628"/>
      <c r="E190" s="629"/>
      <c r="F190" s="629"/>
      <c r="G190" s="629"/>
      <c r="H190" s="629"/>
      <c r="I190" s="630"/>
      <c r="J190" s="631"/>
      <c r="K190" s="632"/>
      <c r="L190" s="632"/>
      <c r="M190" s="633"/>
      <c r="N190" s="625"/>
      <c r="O190" s="634"/>
      <c r="P190" s="632"/>
      <c r="Q190" s="632"/>
      <c r="R190" s="633" t="s">
        <v>1289</v>
      </c>
      <c r="S190" s="634"/>
      <c r="T190" s="635"/>
      <c r="U190" s="636"/>
      <c r="V190" s="637"/>
      <c r="W190" s="637"/>
    </row>
    <row r="191">
      <c r="A191" s="625"/>
      <c r="B191" s="626"/>
      <c r="C191" s="627"/>
      <c r="D191" s="628"/>
      <c r="E191" s="629"/>
      <c r="F191" s="629"/>
      <c r="G191" s="629"/>
      <c r="H191" s="629"/>
      <c r="I191" s="630"/>
      <c r="J191" s="631"/>
      <c r="K191" s="632"/>
      <c r="L191" s="632"/>
      <c r="M191" s="633"/>
      <c r="N191" s="625"/>
      <c r="O191" s="634"/>
      <c r="P191" s="632"/>
      <c r="Q191" s="632"/>
      <c r="R191" s="633" t="s">
        <v>1289</v>
      </c>
      <c r="S191" s="634"/>
      <c r="T191" s="635"/>
      <c r="U191" s="636"/>
      <c r="V191" s="637"/>
      <c r="W191" s="637"/>
    </row>
    <row r="192">
      <c r="A192" s="625"/>
      <c r="B192" s="626"/>
      <c r="C192" s="627"/>
      <c r="D192" s="628"/>
      <c r="E192" s="629"/>
      <c r="F192" s="629"/>
      <c r="G192" s="629"/>
      <c r="H192" s="629"/>
      <c r="I192" s="630"/>
      <c r="J192" s="631"/>
      <c r="K192" s="632"/>
      <c r="L192" s="632"/>
      <c r="M192" s="633"/>
      <c r="N192" s="625"/>
      <c r="O192" s="634"/>
      <c r="P192" s="632"/>
      <c r="Q192" s="632"/>
      <c r="R192" s="633" t="s">
        <v>1289</v>
      </c>
      <c r="S192" s="634"/>
      <c r="T192" s="635"/>
      <c r="U192" s="636"/>
      <c r="V192" s="637"/>
      <c r="W192" s="637"/>
    </row>
    <row r="193">
      <c r="A193" s="625"/>
      <c r="B193" s="626"/>
      <c r="C193" s="627"/>
      <c r="D193" s="628"/>
      <c r="E193" s="629"/>
      <c r="F193" s="629"/>
      <c r="G193" s="629"/>
      <c r="H193" s="629"/>
      <c r="I193" s="630"/>
      <c r="J193" s="631"/>
      <c r="K193" s="632"/>
      <c r="L193" s="632"/>
      <c r="M193" s="633"/>
      <c r="N193" s="625"/>
      <c r="O193" s="634"/>
      <c r="P193" s="632"/>
      <c r="Q193" s="632"/>
      <c r="R193" s="633" t="s">
        <v>1289</v>
      </c>
      <c r="S193" s="634"/>
      <c r="T193" s="635"/>
      <c r="U193" s="636"/>
      <c r="V193" s="637"/>
      <c r="W193" s="637"/>
    </row>
    <row r="194">
      <c r="A194" s="625"/>
      <c r="B194" s="626"/>
      <c r="C194" s="627"/>
      <c r="D194" s="628"/>
      <c r="E194" s="629"/>
      <c r="F194" s="629"/>
      <c r="G194" s="629"/>
      <c r="H194" s="629"/>
      <c r="I194" s="630"/>
      <c r="J194" s="631"/>
      <c r="K194" s="632"/>
      <c r="L194" s="632"/>
      <c r="M194" s="633"/>
      <c r="N194" s="625"/>
      <c r="O194" s="634"/>
      <c r="P194" s="632"/>
      <c r="Q194" s="632"/>
      <c r="R194" s="633" t="s">
        <v>1289</v>
      </c>
      <c r="S194" s="634"/>
      <c r="T194" s="635"/>
      <c r="U194" s="636"/>
      <c r="V194" s="637"/>
      <c r="W194" s="637"/>
    </row>
    <row r="195">
      <c r="A195" s="625"/>
      <c r="B195" s="626"/>
      <c r="C195" s="627"/>
      <c r="D195" s="628"/>
      <c r="E195" s="629"/>
      <c r="F195" s="629"/>
      <c r="G195" s="629"/>
      <c r="H195" s="629"/>
      <c r="I195" s="630"/>
      <c r="J195" s="631"/>
      <c r="K195" s="632"/>
      <c r="L195" s="632"/>
      <c r="M195" s="633"/>
      <c r="N195" s="625"/>
      <c r="O195" s="634"/>
      <c r="P195" s="632"/>
      <c r="Q195" s="632"/>
      <c r="R195" s="633" t="s">
        <v>1289</v>
      </c>
      <c r="S195" s="634"/>
      <c r="T195" s="635"/>
      <c r="U195" s="636"/>
      <c r="V195" s="637"/>
      <c r="W195" s="637"/>
    </row>
    <row r="196">
      <c r="A196" s="625"/>
      <c r="B196" s="626"/>
      <c r="C196" s="627"/>
      <c r="D196" s="628"/>
      <c r="E196" s="629"/>
      <c r="F196" s="629"/>
      <c r="G196" s="629"/>
      <c r="H196" s="629"/>
      <c r="I196" s="630"/>
      <c r="J196" s="631"/>
      <c r="K196" s="632"/>
      <c r="L196" s="632"/>
      <c r="M196" s="633"/>
      <c r="N196" s="625"/>
      <c r="O196" s="634"/>
      <c r="P196" s="632"/>
      <c r="Q196" s="632"/>
      <c r="R196" s="633" t="s">
        <v>1289</v>
      </c>
      <c r="S196" s="634"/>
      <c r="T196" s="635"/>
      <c r="U196" s="636"/>
      <c r="V196" s="637"/>
      <c r="W196" s="637"/>
    </row>
    <row r="197">
      <c r="A197" s="625"/>
      <c r="B197" s="626"/>
      <c r="C197" s="627"/>
      <c r="D197" s="628"/>
      <c r="E197" s="629"/>
      <c r="F197" s="629"/>
      <c r="G197" s="629"/>
      <c r="H197" s="629"/>
      <c r="I197" s="630"/>
      <c r="J197" s="631"/>
      <c r="K197" s="632"/>
      <c r="L197" s="632"/>
      <c r="M197" s="633"/>
      <c r="N197" s="625"/>
      <c r="O197" s="634"/>
      <c r="P197" s="632"/>
      <c r="Q197" s="632"/>
      <c r="R197" s="633" t="s">
        <v>1289</v>
      </c>
      <c r="S197" s="634"/>
      <c r="T197" s="635"/>
      <c r="U197" s="636"/>
      <c r="V197" s="637"/>
      <c r="W197" s="637"/>
    </row>
    <row r="198">
      <c r="A198" s="625"/>
      <c r="B198" s="626"/>
      <c r="C198" s="627"/>
      <c r="D198" s="628"/>
      <c r="E198" s="629"/>
      <c r="F198" s="629"/>
      <c r="G198" s="629"/>
      <c r="H198" s="629"/>
      <c r="I198" s="630"/>
      <c r="J198" s="631"/>
      <c r="K198" s="632"/>
      <c r="L198" s="632"/>
      <c r="M198" s="633"/>
      <c r="N198" s="625"/>
      <c r="O198" s="634"/>
      <c r="P198" s="632"/>
      <c r="Q198" s="632"/>
      <c r="R198" s="633" t="s">
        <v>1289</v>
      </c>
      <c r="S198" s="634"/>
      <c r="T198" s="635"/>
      <c r="U198" s="636"/>
      <c r="V198" s="637"/>
      <c r="W198" s="637"/>
    </row>
    <row r="199">
      <c r="A199" s="625"/>
      <c r="B199" s="626"/>
      <c r="C199" s="627"/>
      <c r="D199" s="628"/>
      <c r="E199" s="629"/>
      <c r="F199" s="629"/>
      <c r="G199" s="629"/>
      <c r="H199" s="629"/>
      <c r="I199" s="630"/>
      <c r="J199" s="631"/>
      <c r="K199" s="632"/>
      <c r="L199" s="632"/>
      <c r="M199" s="633"/>
      <c r="N199" s="625"/>
      <c r="O199" s="634"/>
      <c r="P199" s="632"/>
      <c r="Q199" s="632"/>
      <c r="R199" s="633" t="s">
        <v>1289</v>
      </c>
      <c r="S199" s="634"/>
      <c r="T199" s="635"/>
      <c r="U199" s="636"/>
      <c r="V199" s="637"/>
      <c r="W199" s="637"/>
    </row>
    <row r="200">
      <c r="A200" s="625"/>
      <c r="B200" s="626"/>
      <c r="C200" s="627"/>
      <c r="D200" s="628"/>
      <c r="E200" s="629"/>
      <c r="F200" s="629"/>
      <c r="G200" s="629"/>
      <c r="H200" s="629"/>
      <c r="I200" s="630"/>
      <c r="J200" s="631"/>
      <c r="K200" s="632"/>
      <c r="L200" s="632"/>
      <c r="M200" s="633"/>
      <c r="N200" s="625"/>
      <c r="O200" s="634"/>
      <c r="P200" s="632"/>
      <c r="Q200" s="632"/>
      <c r="R200" s="633" t="s">
        <v>1289</v>
      </c>
      <c r="S200" s="634"/>
      <c r="T200" s="635"/>
      <c r="U200" s="636"/>
      <c r="V200" s="637"/>
      <c r="W200" s="637"/>
    </row>
    <row r="201">
      <c r="A201" s="625"/>
      <c r="B201" s="626"/>
      <c r="C201" s="627"/>
      <c r="D201" s="628"/>
      <c r="E201" s="629"/>
      <c r="F201" s="629"/>
      <c r="G201" s="629"/>
      <c r="H201" s="629"/>
      <c r="I201" s="630"/>
      <c r="J201" s="631"/>
      <c r="K201" s="632"/>
      <c r="L201" s="632"/>
      <c r="M201" s="633"/>
      <c r="N201" s="625"/>
      <c r="O201" s="634"/>
      <c r="P201" s="632"/>
      <c r="Q201" s="632"/>
      <c r="R201" s="633" t="s">
        <v>1289</v>
      </c>
      <c r="S201" s="634"/>
      <c r="T201" s="635"/>
      <c r="U201" s="636"/>
      <c r="V201" s="637"/>
      <c r="W201" s="637"/>
    </row>
    <row r="202">
      <c r="A202" s="625"/>
      <c r="B202" s="626"/>
      <c r="C202" s="627"/>
      <c r="D202" s="628"/>
      <c r="E202" s="629"/>
      <c r="F202" s="629"/>
      <c r="G202" s="629"/>
      <c r="H202" s="629"/>
      <c r="I202" s="630"/>
      <c r="J202" s="631"/>
      <c r="K202" s="632"/>
      <c r="L202" s="632"/>
      <c r="M202" s="633"/>
      <c r="N202" s="625"/>
      <c r="O202" s="634"/>
      <c r="P202" s="632"/>
      <c r="Q202" s="632"/>
      <c r="R202" s="633" t="s">
        <v>1289</v>
      </c>
      <c r="S202" s="634"/>
      <c r="T202" s="635"/>
      <c r="U202" s="636"/>
      <c r="V202" s="637"/>
      <c r="W202" s="637"/>
    </row>
    <row r="203">
      <c r="A203" s="625"/>
      <c r="B203" s="626"/>
      <c r="C203" s="627"/>
      <c r="D203" s="628"/>
      <c r="E203" s="629"/>
      <c r="F203" s="629"/>
      <c r="G203" s="629"/>
      <c r="H203" s="629"/>
      <c r="I203" s="630"/>
      <c r="J203" s="631"/>
      <c r="K203" s="632"/>
      <c r="L203" s="632"/>
      <c r="M203" s="633"/>
      <c r="N203" s="625"/>
      <c r="O203" s="634"/>
      <c r="P203" s="632"/>
      <c r="Q203" s="632"/>
      <c r="R203" s="633" t="s">
        <v>1289</v>
      </c>
      <c r="S203" s="634"/>
      <c r="T203" s="635"/>
      <c r="U203" s="636"/>
      <c r="V203" s="637"/>
      <c r="W203" s="637"/>
    </row>
    <row r="204">
      <c r="A204" s="625"/>
      <c r="B204" s="626"/>
      <c r="C204" s="627"/>
      <c r="D204" s="628"/>
      <c r="E204" s="629"/>
      <c r="F204" s="629"/>
      <c r="G204" s="629"/>
      <c r="H204" s="629"/>
      <c r="I204" s="630"/>
      <c r="J204" s="631"/>
      <c r="K204" s="632"/>
      <c r="L204" s="632"/>
      <c r="M204" s="633"/>
      <c r="N204" s="625"/>
      <c r="O204" s="634"/>
      <c r="P204" s="632"/>
      <c r="Q204" s="632"/>
      <c r="R204" s="633" t="s">
        <v>1289</v>
      </c>
      <c r="S204" s="634"/>
      <c r="T204" s="635"/>
      <c r="U204" s="636"/>
      <c r="V204" s="637"/>
      <c r="W204" s="637"/>
    </row>
    <row r="205">
      <c r="A205" s="625"/>
      <c r="B205" s="626"/>
      <c r="C205" s="627"/>
      <c r="D205" s="628"/>
      <c r="E205" s="629"/>
      <c r="F205" s="629"/>
      <c r="G205" s="629"/>
      <c r="H205" s="629"/>
      <c r="I205" s="630"/>
      <c r="J205" s="631"/>
      <c r="K205" s="632"/>
      <c r="L205" s="632"/>
      <c r="M205" s="633"/>
      <c r="N205" s="625"/>
      <c r="O205" s="634"/>
      <c r="P205" s="632"/>
      <c r="Q205" s="632"/>
      <c r="R205" s="633" t="s">
        <v>1289</v>
      </c>
      <c r="S205" s="634"/>
      <c r="T205" s="635"/>
      <c r="U205" s="636"/>
      <c r="V205" s="637"/>
      <c r="W205" s="637"/>
    </row>
    <row r="206">
      <c r="A206" s="625"/>
      <c r="B206" s="626"/>
      <c r="C206" s="627"/>
      <c r="D206" s="628"/>
      <c r="E206" s="629"/>
      <c r="F206" s="629"/>
      <c r="G206" s="629"/>
      <c r="H206" s="629"/>
      <c r="I206" s="630"/>
      <c r="J206" s="631"/>
      <c r="K206" s="632"/>
      <c r="L206" s="632"/>
      <c r="M206" s="633"/>
      <c r="N206" s="625"/>
      <c r="O206" s="634"/>
      <c r="P206" s="632"/>
      <c r="Q206" s="632"/>
      <c r="R206" s="633" t="s">
        <v>1289</v>
      </c>
      <c r="S206" s="634"/>
      <c r="T206" s="635"/>
      <c r="U206" s="636"/>
      <c r="V206" s="637"/>
      <c r="W206" s="637"/>
    </row>
    <row r="207">
      <c r="A207" s="625"/>
      <c r="B207" s="626"/>
      <c r="C207" s="627"/>
      <c r="D207" s="628"/>
      <c r="E207" s="629"/>
      <c r="F207" s="629"/>
      <c r="G207" s="629"/>
      <c r="H207" s="629"/>
      <c r="I207" s="630"/>
      <c r="J207" s="631"/>
      <c r="K207" s="632"/>
      <c r="L207" s="632"/>
      <c r="M207" s="633"/>
      <c r="N207" s="625"/>
      <c r="O207" s="634"/>
      <c r="P207" s="632"/>
      <c r="Q207" s="632"/>
      <c r="R207" s="633" t="s">
        <v>1289</v>
      </c>
      <c r="S207" s="634"/>
      <c r="T207" s="635"/>
      <c r="U207" s="636"/>
      <c r="V207" s="637"/>
      <c r="W207" s="637"/>
    </row>
    <row r="208">
      <c r="A208" s="625"/>
      <c r="B208" s="626"/>
      <c r="C208" s="627"/>
      <c r="D208" s="628"/>
      <c r="E208" s="629"/>
      <c r="F208" s="629"/>
      <c r="G208" s="629"/>
      <c r="H208" s="629"/>
      <c r="I208" s="630"/>
      <c r="J208" s="631"/>
      <c r="K208" s="632"/>
      <c r="L208" s="632"/>
      <c r="M208" s="633"/>
      <c r="N208" s="625"/>
      <c r="O208" s="634"/>
      <c r="P208" s="632"/>
      <c r="Q208" s="632"/>
      <c r="R208" s="633" t="s">
        <v>1289</v>
      </c>
      <c r="S208" s="634"/>
      <c r="T208" s="635"/>
      <c r="U208" s="636"/>
      <c r="V208" s="637"/>
      <c r="W208" s="637"/>
    </row>
    <row r="209">
      <c r="A209" s="625"/>
      <c r="B209" s="626"/>
      <c r="C209" s="627"/>
      <c r="D209" s="628"/>
      <c r="E209" s="629"/>
      <c r="F209" s="629"/>
      <c r="G209" s="629"/>
      <c r="H209" s="629"/>
      <c r="I209" s="630"/>
      <c r="J209" s="631"/>
      <c r="K209" s="632"/>
      <c r="L209" s="632"/>
      <c r="M209" s="633"/>
      <c r="N209" s="625"/>
      <c r="O209" s="634"/>
      <c r="P209" s="632"/>
      <c r="Q209" s="632"/>
      <c r="R209" s="633" t="s">
        <v>1289</v>
      </c>
      <c r="S209" s="634"/>
      <c r="T209" s="635"/>
      <c r="U209" s="636"/>
      <c r="V209" s="637"/>
      <c r="W209" s="637"/>
    </row>
    <row r="210">
      <c r="A210" s="625"/>
      <c r="B210" s="626"/>
      <c r="C210" s="627"/>
      <c r="D210" s="628"/>
      <c r="E210" s="629"/>
      <c r="F210" s="629"/>
      <c r="G210" s="629"/>
      <c r="H210" s="629"/>
      <c r="I210" s="630"/>
      <c r="J210" s="631"/>
      <c r="K210" s="632"/>
      <c r="L210" s="632"/>
      <c r="M210" s="633"/>
      <c r="N210" s="625"/>
      <c r="O210" s="634"/>
      <c r="P210" s="632"/>
      <c r="Q210" s="632"/>
      <c r="R210" s="633" t="s">
        <v>1289</v>
      </c>
      <c r="S210" s="634"/>
      <c r="T210" s="635"/>
      <c r="U210" s="636"/>
      <c r="V210" s="637"/>
      <c r="W210" s="637"/>
    </row>
    <row r="211">
      <c r="A211" s="625"/>
      <c r="B211" s="626"/>
      <c r="C211" s="627"/>
      <c r="D211" s="628"/>
      <c r="E211" s="629"/>
      <c r="F211" s="629"/>
      <c r="G211" s="629"/>
      <c r="H211" s="629"/>
      <c r="I211" s="630"/>
      <c r="J211" s="631"/>
      <c r="K211" s="632"/>
      <c r="L211" s="632"/>
      <c r="M211" s="633"/>
      <c r="N211" s="625"/>
      <c r="O211" s="634"/>
      <c r="P211" s="632"/>
      <c r="Q211" s="632"/>
      <c r="R211" s="633" t="s">
        <v>1289</v>
      </c>
      <c r="S211" s="634"/>
      <c r="T211" s="635"/>
      <c r="U211" s="636"/>
      <c r="V211" s="637"/>
      <c r="W211" s="637"/>
    </row>
    <row r="212">
      <c r="A212" s="625"/>
      <c r="B212" s="626"/>
      <c r="C212" s="627"/>
      <c r="D212" s="628"/>
      <c r="E212" s="629"/>
      <c r="F212" s="629"/>
      <c r="G212" s="629"/>
      <c r="H212" s="629"/>
      <c r="I212" s="630"/>
      <c r="J212" s="631"/>
      <c r="K212" s="632"/>
      <c r="L212" s="632"/>
      <c r="M212" s="633"/>
      <c r="N212" s="625"/>
      <c r="O212" s="634"/>
      <c r="P212" s="632"/>
      <c r="Q212" s="632"/>
      <c r="R212" s="633" t="s">
        <v>1289</v>
      </c>
      <c r="S212" s="634"/>
      <c r="T212" s="635"/>
      <c r="U212" s="636"/>
      <c r="V212" s="637"/>
      <c r="W212" s="637"/>
    </row>
    <row r="213">
      <c r="A213" s="625"/>
      <c r="B213" s="626"/>
      <c r="C213" s="627"/>
      <c r="D213" s="628"/>
      <c r="E213" s="629"/>
      <c r="F213" s="629"/>
      <c r="G213" s="629"/>
      <c r="H213" s="629"/>
      <c r="I213" s="630"/>
      <c r="J213" s="631"/>
      <c r="K213" s="632"/>
      <c r="L213" s="632"/>
      <c r="M213" s="633"/>
      <c r="N213" s="625"/>
      <c r="O213" s="634"/>
      <c r="P213" s="632"/>
      <c r="Q213" s="632"/>
      <c r="R213" s="633" t="s">
        <v>1289</v>
      </c>
      <c r="S213" s="634"/>
      <c r="T213" s="635"/>
      <c r="U213" s="636"/>
      <c r="V213" s="637"/>
      <c r="W213" s="637"/>
    </row>
    <row r="214">
      <c r="A214" s="625"/>
      <c r="B214" s="626"/>
      <c r="C214" s="627"/>
      <c r="D214" s="628"/>
      <c r="E214" s="629"/>
      <c r="F214" s="629"/>
      <c r="G214" s="629"/>
      <c r="H214" s="629"/>
      <c r="I214" s="630"/>
      <c r="J214" s="631"/>
      <c r="K214" s="632"/>
      <c r="L214" s="632"/>
      <c r="M214" s="633"/>
      <c r="N214" s="625"/>
      <c r="O214" s="634"/>
      <c r="P214" s="632"/>
      <c r="Q214" s="632"/>
      <c r="R214" s="633" t="s">
        <v>1289</v>
      </c>
      <c r="S214" s="634"/>
      <c r="T214" s="635"/>
      <c r="U214" s="636"/>
      <c r="V214" s="637"/>
      <c r="W214" s="637"/>
    </row>
    <row r="215">
      <c r="A215" s="625"/>
      <c r="B215" s="626"/>
      <c r="C215" s="627"/>
      <c r="D215" s="628"/>
      <c r="E215" s="629"/>
      <c r="F215" s="629"/>
      <c r="G215" s="629"/>
      <c r="H215" s="629"/>
      <c r="I215" s="630"/>
      <c r="J215" s="631"/>
      <c r="K215" s="632"/>
      <c r="L215" s="632"/>
      <c r="M215" s="633"/>
      <c r="N215" s="625"/>
      <c r="O215" s="634"/>
      <c r="P215" s="632"/>
      <c r="Q215" s="632"/>
      <c r="R215" s="633" t="s">
        <v>1289</v>
      </c>
      <c r="S215" s="634"/>
      <c r="T215" s="635"/>
      <c r="U215" s="636"/>
      <c r="V215" s="637"/>
      <c r="W215" s="637"/>
    </row>
    <row r="216">
      <c r="A216" s="625"/>
      <c r="B216" s="626"/>
      <c r="C216" s="627"/>
      <c r="D216" s="628"/>
      <c r="E216" s="629"/>
      <c r="F216" s="629"/>
      <c r="G216" s="629"/>
      <c r="H216" s="629"/>
      <c r="I216" s="630"/>
      <c r="J216" s="631"/>
      <c r="K216" s="632"/>
      <c r="L216" s="632"/>
      <c r="M216" s="633"/>
      <c r="N216" s="625"/>
      <c r="O216" s="634"/>
      <c r="P216" s="632"/>
      <c r="Q216" s="632"/>
      <c r="R216" s="633" t="s">
        <v>1289</v>
      </c>
      <c r="S216" s="634"/>
      <c r="T216" s="635"/>
      <c r="U216" s="636"/>
      <c r="V216" s="637"/>
      <c r="W216" s="637"/>
    </row>
    <row r="217">
      <c r="A217" s="625"/>
      <c r="B217" s="626"/>
      <c r="C217" s="627"/>
      <c r="D217" s="628"/>
      <c r="E217" s="629"/>
      <c r="F217" s="629"/>
      <c r="G217" s="629"/>
      <c r="H217" s="629"/>
      <c r="I217" s="630"/>
      <c r="J217" s="631"/>
      <c r="K217" s="632"/>
      <c r="L217" s="632"/>
      <c r="M217" s="633"/>
      <c r="N217" s="625"/>
      <c r="O217" s="634"/>
      <c r="P217" s="632"/>
      <c r="Q217" s="632"/>
      <c r="R217" s="633" t="s">
        <v>1289</v>
      </c>
      <c r="S217" s="634"/>
      <c r="T217" s="635"/>
      <c r="U217" s="636"/>
      <c r="V217" s="637"/>
      <c r="W217" s="637"/>
    </row>
    <row r="218">
      <c r="A218" s="625"/>
      <c r="B218" s="626"/>
      <c r="C218" s="627"/>
      <c r="D218" s="628"/>
      <c r="E218" s="629"/>
      <c r="F218" s="629"/>
      <c r="G218" s="629"/>
      <c r="H218" s="629"/>
      <c r="I218" s="630"/>
      <c r="J218" s="631"/>
      <c r="K218" s="632"/>
      <c r="L218" s="632"/>
      <c r="M218" s="633"/>
      <c r="N218" s="625"/>
      <c r="O218" s="634"/>
      <c r="P218" s="632"/>
      <c r="Q218" s="632"/>
      <c r="R218" s="633" t="s">
        <v>1289</v>
      </c>
      <c r="S218" s="634"/>
      <c r="T218" s="635"/>
      <c r="U218" s="636"/>
      <c r="V218" s="637"/>
      <c r="W218" s="637"/>
    </row>
    <row r="219">
      <c r="A219" s="625"/>
      <c r="B219" s="626"/>
      <c r="C219" s="627"/>
      <c r="D219" s="628"/>
      <c r="E219" s="629"/>
      <c r="F219" s="629"/>
      <c r="G219" s="629"/>
      <c r="H219" s="629"/>
      <c r="I219" s="630"/>
      <c r="J219" s="631"/>
      <c r="K219" s="632"/>
      <c r="L219" s="632"/>
      <c r="M219" s="633"/>
      <c r="N219" s="625"/>
      <c r="O219" s="634"/>
      <c r="P219" s="632"/>
      <c r="Q219" s="632"/>
      <c r="R219" s="633" t="s">
        <v>1289</v>
      </c>
      <c r="S219" s="634"/>
      <c r="T219" s="635"/>
      <c r="U219" s="636"/>
      <c r="V219" s="637"/>
      <c r="W219" s="637"/>
    </row>
    <row r="220">
      <c r="A220" s="625"/>
      <c r="B220" s="626"/>
      <c r="C220" s="627"/>
      <c r="D220" s="628"/>
      <c r="E220" s="629"/>
      <c r="F220" s="629"/>
      <c r="G220" s="629"/>
      <c r="H220" s="629"/>
      <c r="I220" s="630"/>
      <c r="J220" s="631"/>
      <c r="K220" s="632"/>
      <c r="L220" s="632"/>
      <c r="M220" s="633"/>
      <c r="N220" s="625"/>
      <c r="O220" s="634"/>
      <c r="P220" s="632"/>
      <c r="Q220" s="632"/>
      <c r="R220" s="633" t="s">
        <v>1289</v>
      </c>
      <c r="S220" s="634"/>
      <c r="T220" s="635"/>
      <c r="U220" s="636"/>
      <c r="V220" s="637"/>
      <c r="W220" s="637"/>
    </row>
    <row r="221">
      <c r="A221" s="625"/>
      <c r="B221" s="626"/>
      <c r="C221" s="627"/>
      <c r="D221" s="628"/>
      <c r="E221" s="629"/>
      <c r="F221" s="629"/>
      <c r="G221" s="629"/>
      <c r="H221" s="629"/>
      <c r="I221" s="630"/>
      <c r="J221" s="631"/>
      <c r="K221" s="632"/>
      <c r="L221" s="632"/>
      <c r="M221" s="633"/>
      <c r="N221" s="625"/>
      <c r="O221" s="634"/>
      <c r="P221" s="632"/>
      <c r="Q221" s="632"/>
      <c r="R221" s="633" t="s">
        <v>1289</v>
      </c>
      <c r="S221" s="634"/>
      <c r="T221" s="635"/>
      <c r="U221" s="636"/>
      <c r="V221" s="637"/>
      <c r="W221" s="637"/>
    </row>
    <row r="222">
      <c r="A222" s="625"/>
      <c r="B222" s="626"/>
      <c r="C222" s="627"/>
      <c r="D222" s="628"/>
      <c r="E222" s="629"/>
      <c r="F222" s="629"/>
      <c r="G222" s="629"/>
      <c r="H222" s="629"/>
      <c r="I222" s="630"/>
      <c r="J222" s="631"/>
      <c r="K222" s="632"/>
      <c r="L222" s="632"/>
      <c r="M222" s="633"/>
      <c r="N222" s="625"/>
      <c r="O222" s="634"/>
      <c r="P222" s="632"/>
      <c r="Q222" s="632"/>
      <c r="R222" s="633" t="s">
        <v>1289</v>
      </c>
      <c r="S222" s="634"/>
      <c r="T222" s="635"/>
      <c r="U222" s="636"/>
      <c r="V222" s="637"/>
      <c r="W222" s="637"/>
    </row>
    <row r="223">
      <c r="A223" s="625"/>
      <c r="B223" s="626"/>
      <c r="C223" s="627"/>
      <c r="D223" s="628"/>
      <c r="E223" s="629"/>
      <c r="F223" s="629"/>
      <c r="G223" s="629"/>
      <c r="H223" s="629"/>
      <c r="I223" s="630"/>
      <c r="J223" s="631"/>
      <c r="K223" s="632"/>
      <c r="L223" s="632"/>
      <c r="M223" s="633"/>
      <c r="N223" s="625"/>
      <c r="O223" s="634"/>
      <c r="P223" s="632"/>
      <c r="Q223" s="632"/>
      <c r="R223" s="633" t="s">
        <v>1289</v>
      </c>
      <c r="S223" s="634"/>
      <c r="T223" s="635"/>
      <c r="U223" s="636"/>
      <c r="V223" s="637"/>
      <c r="W223" s="637"/>
    </row>
    <row r="224">
      <c r="A224" s="625"/>
      <c r="B224" s="626"/>
      <c r="C224" s="627"/>
      <c r="D224" s="628"/>
      <c r="E224" s="629"/>
      <c r="F224" s="629"/>
      <c r="G224" s="629"/>
      <c r="H224" s="629"/>
      <c r="I224" s="630"/>
      <c r="J224" s="631"/>
      <c r="K224" s="632"/>
      <c r="L224" s="632"/>
      <c r="M224" s="633"/>
      <c r="N224" s="625"/>
      <c r="O224" s="634"/>
      <c r="P224" s="632"/>
      <c r="Q224" s="632"/>
      <c r="R224" s="633" t="s">
        <v>1289</v>
      </c>
      <c r="S224" s="634"/>
      <c r="T224" s="635"/>
      <c r="U224" s="636"/>
      <c r="V224" s="637"/>
      <c r="W224" s="637"/>
    </row>
    <row r="225">
      <c r="A225" s="625"/>
      <c r="B225" s="626"/>
      <c r="C225" s="627"/>
      <c r="D225" s="628"/>
      <c r="E225" s="629"/>
      <c r="F225" s="629"/>
      <c r="G225" s="629"/>
      <c r="H225" s="629"/>
      <c r="I225" s="630"/>
      <c r="J225" s="631"/>
      <c r="K225" s="632"/>
      <c r="L225" s="632"/>
      <c r="M225" s="633"/>
      <c r="N225" s="625"/>
      <c r="O225" s="634"/>
      <c r="P225" s="632"/>
      <c r="Q225" s="632"/>
      <c r="R225" s="633"/>
      <c r="S225" s="634"/>
      <c r="T225" s="635"/>
      <c r="U225" s="636"/>
      <c r="V225" s="637"/>
      <c r="W225" s="637"/>
    </row>
    <row r="226">
      <c r="A226" s="625"/>
      <c r="B226" s="626"/>
      <c r="C226" s="627"/>
      <c r="D226" s="628"/>
      <c r="E226" s="629"/>
      <c r="F226" s="629"/>
      <c r="G226" s="629"/>
      <c r="H226" s="629"/>
      <c r="I226" s="630"/>
      <c r="J226" s="631"/>
      <c r="K226" s="632"/>
      <c r="L226" s="632"/>
      <c r="M226" s="633"/>
      <c r="N226" s="625"/>
      <c r="O226" s="634"/>
      <c r="P226" s="632"/>
      <c r="Q226" s="632"/>
      <c r="R226" s="633"/>
      <c r="S226" s="634"/>
      <c r="T226" s="635"/>
      <c r="U226" s="636"/>
      <c r="V226" s="637"/>
      <c r="W226" s="637"/>
    </row>
    <row r="227">
      <c r="A227" s="625"/>
      <c r="B227" s="626"/>
      <c r="C227" s="627"/>
      <c r="D227" s="628"/>
      <c r="E227" s="629"/>
      <c r="F227" s="629"/>
      <c r="G227" s="629"/>
      <c r="H227" s="629"/>
      <c r="I227" s="630"/>
      <c r="J227" s="631"/>
      <c r="K227" s="632"/>
      <c r="L227" s="632"/>
      <c r="M227" s="633"/>
      <c r="N227" s="625"/>
      <c r="O227" s="634"/>
      <c r="P227" s="632"/>
      <c r="Q227" s="632"/>
      <c r="R227" s="633"/>
      <c r="S227" s="634"/>
      <c r="T227" s="635"/>
      <c r="U227" s="636"/>
      <c r="V227" s="637"/>
      <c r="W227" s="637"/>
    </row>
    <row r="228">
      <c r="A228" s="625"/>
      <c r="B228" s="626"/>
      <c r="C228" s="627"/>
      <c r="D228" s="628"/>
      <c r="E228" s="629"/>
      <c r="F228" s="629"/>
      <c r="G228" s="629"/>
      <c r="H228" s="629"/>
      <c r="I228" s="630"/>
      <c r="J228" s="631"/>
      <c r="K228" s="632"/>
      <c r="L228" s="632"/>
      <c r="M228" s="633"/>
      <c r="N228" s="625"/>
      <c r="O228" s="634"/>
      <c r="P228" s="632"/>
      <c r="Q228" s="632"/>
      <c r="R228" s="633"/>
      <c r="S228" s="634"/>
      <c r="T228" s="635"/>
      <c r="U228" s="636"/>
      <c r="V228" s="637"/>
      <c r="W228" s="637"/>
    </row>
    <row r="229">
      <c r="A229" s="625"/>
      <c r="B229" s="626"/>
      <c r="C229" s="627"/>
      <c r="D229" s="628"/>
      <c r="E229" s="629"/>
      <c r="F229" s="629"/>
      <c r="G229" s="629"/>
      <c r="H229" s="629"/>
      <c r="I229" s="630"/>
      <c r="J229" s="631"/>
      <c r="K229" s="632"/>
      <c r="L229" s="632"/>
      <c r="M229" s="633"/>
      <c r="N229" s="625"/>
      <c r="O229" s="634"/>
      <c r="P229" s="632"/>
      <c r="Q229" s="632"/>
      <c r="R229" s="633"/>
      <c r="S229" s="634"/>
      <c r="T229" s="635"/>
      <c r="U229" s="636"/>
      <c r="V229" s="637"/>
      <c r="W229" s="637"/>
    </row>
    <row r="230">
      <c r="A230" s="625"/>
      <c r="B230" s="626"/>
      <c r="C230" s="627"/>
      <c r="D230" s="628"/>
      <c r="E230" s="629"/>
      <c r="F230" s="629"/>
      <c r="G230" s="629"/>
      <c r="H230" s="629"/>
      <c r="I230" s="630"/>
      <c r="J230" s="631"/>
      <c r="K230" s="632"/>
      <c r="L230" s="632"/>
      <c r="M230" s="633"/>
      <c r="N230" s="625"/>
      <c r="O230" s="634"/>
      <c r="P230" s="632"/>
      <c r="Q230" s="632"/>
      <c r="R230" s="633"/>
      <c r="S230" s="634"/>
      <c r="T230" s="635"/>
      <c r="U230" s="636"/>
      <c r="V230" s="637"/>
      <c r="W230" s="637"/>
    </row>
    <row r="231">
      <c r="A231" s="625"/>
      <c r="B231" s="626"/>
      <c r="C231" s="627"/>
      <c r="D231" s="628"/>
      <c r="E231" s="629"/>
      <c r="F231" s="629"/>
      <c r="G231" s="629"/>
      <c r="H231" s="629"/>
      <c r="I231" s="630"/>
      <c r="J231" s="631"/>
      <c r="K231" s="632"/>
      <c r="L231" s="632"/>
      <c r="M231" s="633"/>
      <c r="N231" s="625"/>
      <c r="O231" s="634"/>
      <c r="P231" s="632"/>
      <c r="Q231" s="632"/>
      <c r="R231" s="633"/>
      <c r="S231" s="634"/>
      <c r="T231" s="635"/>
      <c r="U231" s="636"/>
      <c r="V231" s="637"/>
      <c r="W231" s="637"/>
    </row>
    <row r="232">
      <c r="A232" s="625"/>
      <c r="B232" s="626"/>
      <c r="C232" s="627"/>
      <c r="D232" s="628"/>
      <c r="E232" s="629"/>
      <c r="F232" s="629"/>
      <c r="G232" s="629"/>
      <c r="H232" s="629"/>
      <c r="I232" s="630"/>
      <c r="J232" s="631"/>
      <c r="K232" s="632"/>
      <c r="L232" s="632"/>
      <c r="M232" s="633"/>
      <c r="N232" s="625"/>
      <c r="O232" s="634"/>
      <c r="P232" s="632"/>
      <c r="Q232" s="632"/>
      <c r="R232" s="633"/>
      <c r="S232" s="634"/>
      <c r="T232" s="635"/>
      <c r="U232" s="636"/>
      <c r="V232" s="637"/>
      <c r="W232" s="637"/>
    </row>
    <row r="233">
      <c r="A233" s="625"/>
      <c r="B233" s="626"/>
      <c r="C233" s="627"/>
      <c r="D233" s="628"/>
      <c r="E233" s="629"/>
      <c r="F233" s="629"/>
      <c r="G233" s="629"/>
      <c r="H233" s="629"/>
      <c r="I233" s="630"/>
      <c r="J233" s="631"/>
      <c r="K233" s="632"/>
      <c r="L233" s="632"/>
      <c r="M233" s="633"/>
      <c r="N233" s="625"/>
      <c r="O233" s="634"/>
      <c r="P233" s="632"/>
      <c r="Q233" s="632"/>
      <c r="R233" s="633"/>
      <c r="S233" s="634"/>
      <c r="T233" s="635"/>
      <c r="U233" s="636"/>
      <c r="V233" s="637"/>
      <c r="W233" s="637"/>
    </row>
    <row r="234">
      <c r="A234" s="625"/>
      <c r="B234" s="626"/>
      <c r="C234" s="627"/>
      <c r="D234" s="628"/>
      <c r="E234" s="629"/>
      <c r="F234" s="629"/>
      <c r="G234" s="629"/>
      <c r="H234" s="629"/>
      <c r="I234" s="630"/>
      <c r="J234" s="631"/>
      <c r="K234" s="632"/>
      <c r="L234" s="632"/>
      <c r="M234" s="633"/>
      <c r="N234" s="625"/>
      <c r="O234" s="634"/>
      <c r="P234" s="632"/>
      <c r="Q234" s="632"/>
      <c r="R234" s="633"/>
      <c r="S234" s="634"/>
      <c r="T234" s="635"/>
      <c r="U234" s="636"/>
      <c r="V234" s="637"/>
      <c r="W234" s="637"/>
    </row>
    <row r="235">
      <c r="A235" s="625"/>
      <c r="B235" s="626"/>
      <c r="C235" s="627"/>
      <c r="D235" s="628"/>
      <c r="E235" s="629"/>
      <c r="F235" s="629"/>
      <c r="G235" s="629"/>
      <c r="H235" s="629"/>
      <c r="I235" s="630"/>
      <c r="J235" s="631"/>
      <c r="K235" s="632"/>
      <c r="L235" s="632"/>
      <c r="M235" s="633"/>
      <c r="N235" s="625"/>
      <c r="O235" s="634"/>
      <c r="P235" s="632"/>
      <c r="Q235" s="632"/>
      <c r="R235" s="633"/>
      <c r="S235" s="634"/>
      <c r="T235" s="635"/>
      <c r="U235" s="636"/>
      <c r="V235" s="637"/>
      <c r="W235" s="637"/>
    </row>
    <row r="236">
      <c r="A236" s="625"/>
      <c r="B236" s="626"/>
      <c r="C236" s="627"/>
      <c r="D236" s="628"/>
      <c r="E236" s="629"/>
      <c r="F236" s="629"/>
      <c r="G236" s="629"/>
      <c r="H236" s="629"/>
      <c r="I236" s="630"/>
      <c r="J236" s="631"/>
      <c r="K236" s="632"/>
      <c r="L236" s="632"/>
      <c r="M236" s="633"/>
      <c r="N236" s="625"/>
      <c r="O236" s="634"/>
      <c r="P236" s="632"/>
      <c r="Q236" s="632"/>
      <c r="R236" s="633"/>
      <c r="S236" s="634"/>
      <c r="T236" s="635"/>
      <c r="U236" s="636"/>
      <c r="V236" s="637"/>
      <c r="W236" s="637"/>
    </row>
    <row r="237">
      <c r="A237" s="625"/>
      <c r="B237" s="626"/>
      <c r="C237" s="627"/>
      <c r="D237" s="628"/>
      <c r="E237" s="629"/>
      <c r="F237" s="629"/>
      <c r="G237" s="629"/>
      <c r="H237" s="629"/>
      <c r="I237" s="630"/>
      <c r="J237" s="631"/>
      <c r="K237" s="632"/>
      <c r="L237" s="632"/>
      <c r="M237" s="633"/>
      <c r="N237" s="625"/>
      <c r="O237" s="634"/>
      <c r="P237" s="632"/>
      <c r="Q237" s="632"/>
      <c r="R237" s="633"/>
      <c r="S237" s="634"/>
      <c r="T237" s="635"/>
      <c r="U237" s="636"/>
      <c r="V237" s="637"/>
      <c r="W237" s="637"/>
    </row>
    <row r="238">
      <c r="A238" s="625"/>
      <c r="B238" s="626"/>
      <c r="C238" s="627"/>
      <c r="D238" s="628"/>
      <c r="E238" s="629"/>
      <c r="F238" s="629"/>
      <c r="G238" s="629"/>
      <c r="H238" s="629"/>
      <c r="I238" s="630"/>
      <c r="J238" s="631"/>
      <c r="K238" s="632"/>
      <c r="L238" s="632"/>
      <c r="M238" s="633"/>
      <c r="N238" s="625"/>
      <c r="O238" s="634"/>
      <c r="P238" s="632"/>
      <c r="Q238" s="632"/>
      <c r="R238" s="633"/>
      <c r="S238" s="634"/>
      <c r="T238" s="635"/>
      <c r="U238" s="636"/>
      <c r="V238" s="637"/>
      <c r="W238" s="637"/>
    </row>
    <row r="239">
      <c r="A239" s="625"/>
      <c r="B239" s="626"/>
      <c r="C239" s="627"/>
      <c r="D239" s="628"/>
      <c r="E239" s="629"/>
      <c r="F239" s="629"/>
      <c r="G239" s="629"/>
      <c r="H239" s="629"/>
      <c r="I239" s="630"/>
      <c r="J239" s="631"/>
      <c r="K239" s="632"/>
      <c r="L239" s="632"/>
      <c r="M239" s="633"/>
      <c r="N239" s="625"/>
      <c r="O239" s="634"/>
      <c r="P239" s="632"/>
      <c r="Q239" s="632"/>
      <c r="R239" s="633"/>
      <c r="S239" s="634"/>
      <c r="T239" s="635"/>
      <c r="U239" s="636"/>
      <c r="V239" s="637"/>
      <c r="W239" s="637"/>
    </row>
    <row r="240">
      <c r="A240" s="625"/>
      <c r="B240" s="626"/>
      <c r="C240" s="627"/>
      <c r="D240" s="628"/>
      <c r="E240" s="629"/>
      <c r="F240" s="629"/>
      <c r="G240" s="629"/>
      <c r="H240" s="629"/>
      <c r="I240" s="630"/>
      <c r="J240" s="631"/>
      <c r="K240" s="632"/>
      <c r="L240" s="632"/>
      <c r="M240" s="633"/>
      <c r="N240" s="625"/>
      <c r="O240" s="634"/>
      <c r="P240" s="632"/>
      <c r="Q240" s="632"/>
      <c r="R240" s="633"/>
      <c r="S240" s="634"/>
      <c r="T240" s="635"/>
      <c r="U240" s="636"/>
      <c r="V240" s="637"/>
      <c r="W240" s="637"/>
    </row>
    <row r="241">
      <c r="A241" s="625"/>
      <c r="B241" s="626"/>
      <c r="C241" s="627"/>
      <c r="D241" s="628"/>
      <c r="E241" s="629"/>
      <c r="F241" s="629"/>
      <c r="G241" s="629"/>
      <c r="H241" s="629"/>
      <c r="I241" s="630"/>
      <c r="J241" s="631"/>
      <c r="K241" s="632"/>
      <c r="L241" s="632"/>
      <c r="M241" s="633"/>
      <c r="N241" s="625"/>
      <c r="O241" s="634"/>
      <c r="P241" s="632"/>
      <c r="Q241" s="632"/>
      <c r="R241" s="633"/>
      <c r="S241" s="634"/>
      <c r="T241" s="635"/>
      <c r="U241" s="636"/>
      <c r="V241" s="637"/>
      <c r="W241" s="637"/>
    </row>
    <row r="242">
      <c r="A242" s="625"/>
      <c r="B242" s="626"/>
      <c r="C242" s="627"/>
      <c r="D242" s="628"/>
      <c r="E242" s="629"/>
      <c r="F242" s="629"/>
      <c r="G242" s="629"/>
      <c r="H242" s="629"/>
      <c r="I242" s="630"/>
      <c r="J242" s="631"/>
      <c r="K242" s="632"/>
      <c r="L242" s="632"/>
      <c r="M242" s="633"/>
      <c r="N242" s="625"/>
      <c r="O242" s="634"/>
      <c r="P242" s="632"/>
      <c r="Q242" s="632"/>
      <c r="R242" s="633"/>
      <c r="S242" s="634"/>
      <c r="T242" s="635"/>
      <c r="U242" s="636"/>
      <c r="V242" s="637"/>
      <c r="W242" s="637"/>
    </row>
    <row r="243">
      <c r="A243" s="625"/>
      <c r="B243" s="626"/>
      <c r="C243" s="627"/>
      <c r="D243" s="628"/>
      <c r="E243" s="629"/>
      <c r="F243" s="629"/>
      <c r="G243" s="629"/>
      <c r="H243" s="629"/>
      <c r="I243" s="630"/>
      <c r="J243" s="631"/>
      <c r="K243" s="632"/>
      <c r="L243" s="632"/>
      <c r="M243" s="633"/>
      <c r="N243" s="625"/>
      <c r="O243" s="634"/>
      <c r="P243" s="632"/>
      <c r="Q243" s="632"/>
      <c r="R243" s="633"/>
      <c r="S243" s="634"/>
      <c r="T243" s="635"/>
      <c r="U243" s="636"/>
      <c r="V243" s="637"/>
      <c r="W243" s="637"/>
    </row>
    <row r="244">
      <c r="A244" s="625"/>
      <c r="B244" s="626"/>
      <c r="C244" s="627"/>
      <c r="D244" s="628"/>
      <c r="E244" s="629"/>
      <c r="F244" s="629"/>
      <c r="G244" s="629"/>
      <c r="H244" s="629"/>
      <c r="I244" s="630"/>
      <c r="J244" s="631"/>
      <c r="K244" s="632"/>
      <c r="L244" s="632"/>
      <c r="M244" s="633"/>
      <c r="N244" s="625"/>
      <c r="O244" s="634"/>
      <c r="P244" s="632"/>
      <c r="Q244" s="632"/>
      <c r="R244" s="633"/>
      <c r="S244" s="634"/>
      <c r="T244" s="635"/>
      <c r="U244" s="636"/>
      <c r="V244" s="637"/>
      <c r="W244" s="637"/>
    </row>
    <row r="245">
      <c r="A245" s="625"/>
      <c r="B245" s="626"/>
      <c r="C245" s="627"/>
      <c r="D245" s="628"/>
      <c r="E245" s="629"/>
      <c r="F245" s="629"/>
      <c r="G245" s="629"/>
      <c r="H245" s="629"/>
      <c r="I245" s="630"/>
      <c r="J245" s="631"/>
      <c r="K245" s="632"/>
      <c r="L245" s="632"/>
      <c r="M245" s="633"/>
      <c r="N245" s="625"/>
      <c r="O245" s="634"/>
      <c r="P245" s="632"/>
      <c r="Q245" s="632"/>
      <c r="R245" s="633"/>
      <c r="S245" s="634"/>
      <c r="T245" s="635"/>
      <c r="U245" s="636"/>
      <c r="V245" s="637"/>
      <c r="W245" s="637"/>
    </row>
    <row r="246">
      <c r="A246" s="625"/>
      <c r="B246" s="626"/>
      <c r="C246" s="627"/>
      <c r="D246" s="628"/>
      <c r="E246" s="629"/>
      <c r="F246" s="629"/>
      <c r="G246" s="629"/>
      <c r="H246" s="629"/>
      <c r="I246" s="630"/>
      <c r="J246" s="631"/>
      <c r="K246" s="632"/>
      <c r="L246" s="632"/>
      <c r="M246" s="633"/>
      <c r="N246" s="625"/>
      <c r="O246" s="634"/>
      <c r="P246" s="632"/>
      <c r="Q246" s="632"/>
      <c r="R246" s="633"/>
      <c r="S246" s="634"/>
      <c r="T246" s="635"/>
      <c r="U246" s="636"/>
      <c r="V246" s="637"/>
      <c r="W246" s="637"/>
    </row>
    <row r="247">
      <c r="A247" s="625"/>
      <c r="B247" s="626"/>
      <c r="C247" s="627"/>
      <c r="D247" s="628"/>
      <c r="E247" s="629"/>
      <c r="F247" s="629"/>
      <c r="G247" s="629"/>
      <c r="H247" s="629"/>
      <c r="I247" s="630"/>
      <c r="J247" s="631"/>
      <c r="K247" s="632"/>
      <c r="L247" s="632"/>
      <c r="M247" s="633"/>
      <c r="N247" s="625"/>
      <c r="O247" s="634"/>
      <c r="P247" s="632"/>
      <c r="Q247" s="632"/>
      <c r="R247" s="633"/>
      <c r="S247" s="634"/>
      <c r="T247" s="635"/>
      <c r="U247" s="636"/>
      <c r="V247" s="637"/>
      <c r="W247" s="637"/>
    </row>
    <row r="248">
      <c r="A248" s="625"/>
      <c r="B248" s="626"/>
      <c r="C248" s="627"/>
      <c r="D248" s="628"/>
      <c r="E248" s="629"/>
      <c r="F248" s="629"/>
      <c r="G248" s="629"/>
      <c r="H248" s="629"/>
      <c r="I248" s="630"/>
      <c r="J248" s="631"/>
      <c r="K248" s="632"/>
      <c r="L248" s="632"/>
      <c r="M248" s="633"/>
      <c r="N248" s="625"/>
      <c r="O248" s="634"/>
      <c r="P248" s="632"/>
      <c r="Q248" s="632"/>
      <c r="R248" s="633"/>
      <c r="S248" s="634"/>
      <c r="T248" s="635"/>
      <c r="U248" s="636"/>
      <c r="V248" s="637"/>
      <c r="W248" s="637"/>
    </row>
    <row r="249">
      <c r="A249" s="625"/>
      <c r="B249" s="626"/>
      <c r="C249" s="627"/>
      <c r="D249" s="628"/>
      <c r="E249" s="629"/>
      <c r="F249" s="629"/>
      <c r="G249" s="629"/>
      <c r="H249" s="629"/>
      <c r="I249" s="630"/>
      <c r="J249" s="631"/>
      <c r="K249" s="632"/>
      <c r="L249" s="632"/>
      <c r="M249" s="633"/>
      <c r="N249" s="625"/>
      <c r="O249" s="634"/>
      <c r="P249" s="632"/>
      <c r="Q249" s="632"/>
      <c r="R249" s="633"/>
      <c r="S249" s="634"/>
      <c r="T249" s="635"/>
      <c r="U249" s="636"/>
      <c r="V249" s="637"/>
      <c r="W249" s="637"/>
    </row>
    <row r="250">
      <c r="A250" s="625"/>
      <c r="B250" s="626"/>
      <c r="C250" s="627"/>
      <c r="D250" s="628"/>
      <c r="E250" s="629"/>
      <c r="F250" s="629"/>
      <c r="G250" s="629"/>
      <c r="H250" s="629"/>
      <c r="I250" s="630"/>
      <c r="J250" s="631"/>
      <c r="K250" s="632"/>
      <c r="L250" s="632"/>
      <c r="M250" s="633"/>
      <c r="N250" s="625"/>
      <c r="O250" s="634"/>
      <c r="P250" s="632"/>
      <c r="Q250" s="632"/>
      <c r="R250" s="633"/>
      <c r="S250" s="634"/>
      <c r="T250" s="635"/>
      <c r="U250" s="636"/>
      <c r="V250" s="637"/>
      <c r="W250" s="637"/>
    </row>
    <row r="251">
      <c r="A251" s="625"/>
      <c r="B251" s="626"/>
      <c r="C251" s="627"/>
      <c r="D251" s="628"/>
      <c r="E251" s="629"/>
      <c r="F251" s="629"/>
      <c r="G251" s="629"/>
      <c r="H251" s="629"/>
      <c r="I251" s="630"/>
      <c r="J251" s="631"/>
      <c r="K251" s="632"/>
      <c r="L251" s="632"/>
      <c r="M251" s="633"/>
      <c r="N251" s="625"/>
      <c r="O251" s="634"/>
      <c r="P251" s="632"/>
      <c r="Q251" s="632"/>
      <c r="R251" s="633"/>
      <c r="S251" s="634"/>
      <c r="T251" s="635"/>
      <c r="U251" s="636"/>
      <c r="V251" s="637"/>
      <c r="W251" s="637"/>
    </row>
    <row r="252">
      <c r="A252" s="625"/>
      <c r="B252" s="626"/>
      <c r="C252" s="627"/>
      <c r="D252" s="628"/>
      <c r="E252" s="629"/>
      <c r="F252" s="629"/>
      <c r="G252" s="629"/>
      <c r="H252" s="629"/>
      <c r="I252" s="630"/>
      <c r="J252" s="631"/>
      <c r="K252" s="632"/>
      <c r="L252" s="632"/>
      <c r="M252" s="633"/>
      <c r="N252" s="625"/>
      <c r="O252" s="634"/>
      <c r="P252" s="632"/>
      <c r="Q252" s="632"/>
      <c r="R252" s="633"/>
      <c r="S252" s="634"/>
      <c r="T252" s="635"/>
      <c r="U252" s="636"/>
      <c r="V252" s="637"/>
      <c r="W252" s="637"/>
    </row>
    <row r="253">
      <c r="A253" s="625"/>
      <c r="B253" s="626"/>
      <c r="C253" s="627"/>
      <c r="D253" s="628"/>
      <c r="E253" s="629"/>
      <c r="F253" s="629"/>
      <c r="G253" s="629"/>
      <c r="H253" s="629"/>
      <c r="I253" s="630"/>
      <c r="J253" s="631"/>
      <c r="K253" s="632"/>
      <c r="L253" s="632"/>
      <c r="M253" s="633"/>
      <c r="N253" s="625"/>
      <c r="O253" s="634"/>
      <c r="P253" s="632"/>
      <c r="Q253" s="632"/>
      <c r="R253" s="633"/>
      <c r="S253" s="634"/>
      <c r="T253" s="635"/>
      <c r="U253" s="636"/>
      <c r="V253" s="637"/>
      <c r="W253" s="637"/>
    </row>
    <row r="254">
      <c r="A254" s="625"/>
      <c r="B254" s="626"/>
      <c r="C254" s="627"/>
      <c r="D254" s="628"/>
      <c r="E254" s="629"/>
      <c r="F254" s="629"/>
      <c r="G254" s="629"/>
      <c r="H254" s="629"/>
      <c r="I254" s="630"/>
      <c r="J254" s="631"/>
      <c r="K254" s="632"/>
      <c r="L254" s="632"/>
      <c r="M254" s="633"/>
      <c r="N254" s="625"/>
      <c r="O254" s="634"/>
      <c r="P254" s="632"/>
      <c r="Q254" s="632"/>
      <c r="R254" s="633"/>
      <c r="S254" s="634"/>
      <c r="T254" s="635"/>
      <c r="U254" s="636"/>
      <c r="V254" s="637"/>
      <c r="W254" s="637"/>
    </row>
    <row r="255">
      <c r="A255" s="625"/>
      <c r="B255" s="626"/>
      <c r="C255" s="627"/>
      <c r="D255" s="628"/>
      <c r="E255" s="629"/>
      <c r="F255" s="629"/>
      <c r="G255" s="629"/>
      <c r="H255" s="629"/>
      <c r="I255" s="630"/>
      <c r="J255" s="631"/>
      <c r="K255" s="632"/>
      <c r="L255" s="632"/>
      <c r="M255" s="633"/>
      <c r="N255" s="625"/>
      <c r="O255" s="634"/>
      <c r="P255" s="632"/>
      <c r="Q255" s="632"/>
      <c r="R255" s="633"/>
      <c r="S255" s="634"/>
      <c r="T255" s="635"/>
      <c r="U255" s="636"/>
      <c r="V255" s="637"/>
      <c r="W255" s="637"/>
    </row>
    <row r="256">
      <c r="A256" s="625"/>
      <c r="B256" s="626"/>
      <c r="C256" s="627"/>
      <c r="D256" s="628"/>
      <c r="E256" s="629"/>
      <c r="F256" s="629"/>
      <c r="G256" s="629"/>
      <c r="H256" s="629"/>
      <c r="I256" s="630"/>
      <c r="J256" s="631"/>
      <c r="K256" s="632"/>
      <c r="L256" s="632"/>
      <c r="M256" s="633"/>
      <c r="N256" s="625"/>
      <c r="O256" s="634"/>
      <c r="P256" s="632"/>
      <c r="Q256" s="632"/>
      <c r="R256" s="633"/>
      <c r="S256" s="634"/>
      <c r="T256" s="635"/>
      <c r="U256" s="636"/>
      <c r="V256" s="637"/>
      <c r="W256" s="637"/>
    </row>
    <row r="257">
      <c r="A257" s="625"/>
      <c r="B257" s="626"/>
      <c r="C257" s="627"/>
      <c r="D257" s="628"/>
      <c r="E257" s="629"/>
      <c r="F257" s="629"/>
      <c r="G257" s="629"/>
      <c r="H257" s="629"/>
      <c r="I257" s="630"/>
      <c r="J257" s="631"/>
      <c r="K257" s="632"/>
      <c r="L257" s="632"/>
      <c r="M257" s="633"/>
      <c r="N257" s="625"/>
      <c r="O257" s="634"/>
      <c r="P257" s="632"/>
      <c r="Q257" s="632"/>
      <c r="R257" s="633"/>
      <c r="S257" s="634"/>
      <c r="T257" s="635"/>
      <c r="U257" s="636"/>
      <c r="V257" s="637"/>
      <c r="W257" s="637"/>
    </row>
    <row r="258">
      <c r="A258" s="625"/>
      <c r="B258" s="626"/>
      <c r="C258" s="627"/>
      <c r="D258" s="628"/>
      <c r="E258" s="629"/>
      <c r="F258" s="629"/>
      <c r="G258" s="629"/>
      <c r="H258" s="629"/>
      <c r="I258" s="630"/>
      <c r="J258" s="631"/>
      <c r="K258" s="632"/>
      <c r="L258" s="632"/>
      <c r="M258" s="633"/>
      <c r="N258" s="625"/>
      <c r="O258" s="634"/>
      <c r="P258" s="632"/>
      <c r="Q258" s="632"/>
      <c r="R258" s="633"/>
      <c r="S258" s="634"/>
      <c r="T258" s="635"/>
      <c r="U258" s="636"/>
      <c r="V258" s="637"/>
      <c r="W258" s="637"/>
    </row>
    <row r="259">
      <c r="A259" s="625"/>
      <c r="B259" s="626"/>
      <c r="C259" s="627"/>
      <c r="D259" s="628"/>
      <c r="E259" s="629"/>
      <c r="F259" s="629"/>
      <c r="G259" s="629"/>
      <c r="H259" s="629"/>
      <c r="I259" s="630"/>
      <c r="J259" s="631"/>
      <c r="K259" s="632"/>
      <c r="L259" s="632"/>
      <c r="M259" s="633"/>
      <c r="N259" s="625"/>
      <c r="O259" s="634"/>
      <c r="P259" s="632"/>
      <c r="Q259" s="632"/>
      <c r="R259" s="633"/>
      <c r="S259" s="634"/>
      <c r="T259" s="635"/>
      <c r="U259" s="636"/>
      <c r="V259" s="637"/>
      <c r="W259" s="637"/>
    </row>
    <row r="260">
      <c r="A260" s="625"/>
      <c r="B260" s="626"/>
      <c r="C260" s="627"/>
      <c r="D260" s="628"/>
      <c r="E260" s="629"/>
      <c r="F260" s="629"/>
      <c r="G260" s="629"/>
      <c r="H260" s="629"/>
      <c r="I260" s="630"/>
      <c r="J260" s="631"/>
      <c r="K260" s="632"/>
      <c r="L260" s="632"/>
      <c r="M260" s="633"/>
      <c r="N260" s="625"/>
      <c r="O260" s="634"/>
      <c r="P260" s="632"/>
      <c r="Q260" s="632"/>
      <c r="R260" s="633"/>
      <c r="S260" s="634"/>
      <c r="T260" s="635"/>
      <c r="U260" s="636"/>
      <c r="V260" s="637"/>
      <c r="W260" s="637"/>
    </row>
    <row r="261">
      <c r="A261" s="625"/>
      <c r="B261" s="626"/>
      <c r="C261" s="627"/>
      <c r="D261" s="628"/>
      <c r="E261" s="629"/>
      <c r="F261" s="629"/>
      <c r="G261" s="629"/>
      <c r="H261" s="629"/>
      <c r="I261" s="630"/>
      <c r="J261" s="631"/>
      <c r="K261" s="632"/>
      <c r="L261" s="632"/>
      <c r="M261" s="633"/>
      <c r="N261" s="625"/>
      <c r="O261" s="634"/>
      <c r="P261" s="632"/>
      <c r="Q261" s="632"/>
      <c r="R261" s="633"/>
      <c r="S261" s="634"/>
      <c r="T261" s="635"/>
      <c r="U261" s="636"/>
      <c r="V261" s="637"/>
      <c r="W261" s="637"/>
    </row>
    <row r="262">
      <c r="A262" s="625"/>
      <c r="B262" s="626"/>
      <c r="C262" s="627"/>
      <c r="D262" s="628"/>
      <c r="E262" s="629"/>
      <c r="F262" s="629"/>
      <c r="G262" s="629"/>
      <c r="H262" s="629"/>
      <c r="I262" s="630"/>
      <c r="J262" s="631"/>
      <c r="K262" s="632"/>
      <c r="L262" s="632"/>
      <c r="M262" s="633"/>
      <c r="N262" s="625"/>
      <c r="O262" s="634"/>
      <c r="P262" s="632"/>
      <c r="Q262" s="632"/>
      <c r="R262" s="633"/>
      <c r="S262" s="634"/>
      <c r="T262" s="635"/>
      <c r="U262" s="636"/>
      <c r="V262" s="637"/>
      <c r="W262" s="637"/>
    </row>
    <row r="263">
      <c r="A263" s="625"/>
      <c r="B263" s="626"/>
      <c r="C263" s="627"/>
      <c r="D263" s="628"/>
      <c r="E263" s="629"/>
      <c r="F263" s="629"/>
      <c r="G263" s="629"/>
      <c r="H263" s="629"/>
      <c r="I263" s="630"/>
      <c r="J263" s="631"/>
      <c r="K263" s="632"/>
      <c r="L263" s="632"/>
      <c r="M263" s="633"/>
      <c r="N263" s="625"/>
      <c r="O263" s="634"/>
      <c r="P263" s="632"/>
      <c r="Q263" s="632"/>
      <c r="R263" s="633"/>
      <c r="S263" s="634"/>
      <c r="T263" s="635"/>
      <c r="U263" s="636"/>
      <c r="V263" s="637"/>
      <c r="W263" s="637"/>
    </row>
    <row r="264">
      <c r="A264" s="625"/>
      <c r="B264" s="626"/>
      <c r="C264" s="627"/>
      <c r="D264" s="628"/>
      <c r="E264" s="629"/>
      <c r="F264" s="629"/>
      <c r="G264" s="629"/>
      <c r="H264" s="629"/>
      <c r="I264" s="630"/>
      <c r="J264" s="631"/>
      <c r="K264" s="632"/>
      <c r="L264" s="632"/>
      <c r="M264" s="633"/>
      <c r="N264" s="625"/>
      <c r="O264" s="634"/>
      <c r="P264" s="632"/>
      <c r="Q264" s="632"/>
      <c r="R264" s="633"/>
      <c r="S264" s="634"/>
      <c r="T264" s="635"/>
      <c r="U264" s="636"/>
      <c r="V264" s="637"/>
      <c r="W264" s="637"/>
    </row>
    <row r="265">
      <c r="A265" s="625"/>
      <c r="B265" s="626"/>
      <c r="C265" s="627"/>
      <c r="D265" s="628"/>
      <c r="E265" s="629"/>
      <c r="F265" s="629"/>
      <c r="G265" s="629"/>
      <c r="H265" s="629"/>
      <c r="I265" s="630"/>
      <c r="J265" s="631"/>
      <c r="K265" s="632"/>
      <c r="L265" s="632"/>
      <c r="M265" s="633"/>
      <c r="N265" s="625"/>
      <c r="O265" s="634"/>
      <c r="P265" s="632"/>
      <c r="Q265" s="632"/>
      <c r="R265" s="633"/>
      <c r="S265" s="634"/>
      <c r="T265" s="635"/>
      <c r="U265" s="636"/>
      <c r="V265" s="637"/>
      <c r="W265" s="637"/>
    </row>
    <row r="266">
      <c r="A266" s="625"/>
      <c r="B266" s="626"/>
      <c r="C266" s="627"/>
      <c r="D266" s="628"/>
      <c r="E266" s="629"/>
      <c r="F266" s="629"/>
      <c r="G266" s="629"/>
      <c r="H266" s="629"/>
      <c r="I266" s="630"/>
      <c r="J266" s="631"/>
      <c r="K266" s="632"/>
      <c r="L266" s="632"/>
      <c r="M266" s="633"/>
      <c r="N266" s="625"/>
      <c r="O266" s="634"/>
      <c r="P266" s="632"/>
      <c r="Q266" s="632"/>
      <c r="R266" s="633"/>
      <c r="S266" s="634"/>
      <c r="T266" s="635"/>
      <c r="U266" s="636"/>
      <c r="V266" s="637"/>
      <c r="W266" s="637"/>
    </row>
    <row r="267">
      <c r="A267" s="625"/>
      <c r="B267" s="626"/>
      <c r="C267" s="627"/>
      <c r="D267" s="628"/>
      <c r="E267" s="629"/>
      <c r="F267" s="629"/>
      <c r="G267" s="629"/>
      <c r="H267" s="629"/>
      <c r="I267" s="630"/>
      <c r="J267" s="631"/>
      <c r="K267" s="632"/>
      <c r="L267" s="632"/>
      <c r="M267" s="633"/>
      <c r="N267" s="625"/>
      <c r="O267" s="634"/>
      <c r="P267" s="632"/>
      <c r="Q267" s="632"/>
      <c r="R267" s="633"/>
      <c r="S267" s="634"/>
      <c r="T267" s="635"/>
      <c r="U267" s="636"/>
      <c r="V267" s="637"/>
      <c r="W267" s="637"/>
    </row>
    <row r="268">
      <c r="A268" s="625"/>
      <c r="B268" s="626"/>
      <c r="C268" s="627"/>
      <c r="D268" s="628"/>
      <c r="E268" s="629"/>
      <c r="F268" s="629"/>
      <c r="G268" s="629"/>
      <c r="H268" s="629"/>
      <c r="I268" s="630"/>
      <c r="J268" s="631"/>
      <c r="K268" s="632"/>
      <c r="L268" s="632"/>
      <c r="M268" s="633"/>
      <c r="N268" s="625"/>
      <c r="O268" s="634"/>
      <c r="P268" s="632"/>
      <c r="Q268" s="632"/>
      <c r="R268" s="633"/>
      <c r="S268" s="634"/>
      <c r="T268" s="635"/>
      <c r="U268" s="636"/>
      <c r="V268" s="637"/>
      <c r="W268" s="637"/>
    </row>
    <row r="269">
      <c r="A269" s="625"/>
      <c r="B269" s="626"/>
      <c r="C269" s="627"/>
      <c r="D269" s="628"/>
      <c r="E269" s="629"/>
      <c r="F269" s="629"/>
      <c r="G269" s="629"/>
      <c r="H269" s="629"/>
      <c r="I269" s="630"/>
      <c r="J269" s="631"/>
      <c r="K269" s="632"/>
      <c r="L269" s="632"/>
      <c r="M269" s="633"/>
      <c r="N269" s="625"/>
      <c r="O269" s="634"/>
      <c r="P269" s="632"/>
      <c r="Q269" s="632"/>
      <c r="R269" s="633"/>
      <c r="S269" s="634"/>
      <c r="T269" s="635"/>
      <c r="U269" s="636"/>
      <c r="V269" s="637"/>
      <c r="W269" s="637"/>
    </row>
    <row r="270">
      <c r="A270" s="625"/>
      <c r="B270" s="626"/>
      <c r="C270" s="627"/>
      <c r="D270" s="628"/>
      <c r="E270" s="629"/>
      <c r="F270" s="629"/>
      <c r="G270" s="629"/>
      <c r="H270" s="629"/>
      <c r="I270" s="630"/>
      <c r="J270" s="631"/>
      <c r="K270" s="632"/>
      <c r="L270" s="632"/>
      <c r="M270" s="633"/>
      <c r="N270" s="625"/>
      <c r="O270" s="634"/>
      <c r="P270" s="632"/>
      <c r="Q270" s="632"/>
      <c r="R270" s="633"/>
      <c r="S270" s="634"/>
      <c r="T270" s="635"/>
      <c r="U270" s="636"/>
      <c r="V270" s="637"/>
      <c r="W270" s="637"/>
    </row>
    <row r="271">
      <c r="A271" s="625"/>
      <c r="B271" s="626"/>
      <c r="C271" s="627"/>
      <c r="D271" s="628"/>
      <c r="E271" s="629"/>
      <c r="F271" s="629"/>
      <c r="G271" s="629"/>
      <c r="H271" s="629"/>
      <c r="I271" s="630"/>
      <c r="J271" s="631"/>
      <c r="K271" s="632"/>
      <c r="L271" s="632"/>
      <c r="M271" s="633"/>
      <c r="N271" s="625"/>
      <c r="O271" s="634"/>
      <c r="P271" s="632"/>
      <c r="Q271" s="632"/>
      <c r="R271" s="633"/>
      <c r="S271" s="634"/>
      <c r="T271" s="635"/>
      <c r="U271" s="636"/>
      <c r="V271" s="637"/>
      <c r="W271" s="637"/>
    </row>
    <row r="272">
      <c r="A272" s="625"/>
      <c r="B272" s="626"/>
      <c r="C272" s="627"/>
      <c r="D272" s="628"/>
      <c r="E272" s="629"/>
      <c r="F272" s="629"/>
      <c r="G272" s="629"/>
      <c r="H272" s="629"/>
      <c r="I272" s="630"/>
      <c r="J272" s="631"/>
      <c r="K272" s="632"/>
      <c r="L272" s="632"/>
      <c r="M272" s="633"/>
      <c r="N272" s="625"/>
      <c r="O272" s="634"/>
      <c r="P272" s="632"/>
      <c r="Q272" s="632"/>
      <c r="R272" s="633"/>
      <c r="S272" s="634"/>
      <c r="T272" s="635"/>
      <c r="U272" s="636"/>
      <c r="V272" s="637"/>
      <c r="W272" s="637"/>
    </row>
    <row r="273">
      <c r="A273" s="625"/>
      <c r="B273" s="626"/>
      <c r="C273" s="627"/>
      <c r="D273" s="628"/>
      <c r="E273" s="629"/>
      <c r="F273" s="629"/>
      <c r="G273" s="629"/>
      <c r="H273" s="629"/>
      <c r="I273" s="630"/>
      <c r="J273" s="631"/>
      <c r="K273" s="632"/>
      <c r="L273" s="632"/>
      <c r="M273" s="633"/>
      <c r="N273" s="625"/>
      <c r="O273" s="634"/>
      <c r="P273" s="632"/>
      <c r="Q273" s="632"/>
      <c r="R273" s="633"/>
      <c r="S273" s="634"/>
      <c r="T273" s="635"/>
      <c r="U273" s="636"/>
      <c r="V273" s="637"/>
      <c r="W273" s="637"/>
    </row>
    <row r="274">
      <c r="A274" s="625"/>
      <c r="B274" s="626"/>
      <c r="C274" s="627"/>
      <c r="D274" s="628"/>
      <c r="E274" s="629"/>
      <c r="F274" s="629"/>
      <c r="G274" s="629"/>
      <c r="H274" s="629"/>
      <c r="I274" s="630"/>
      <c r="J274" s="631"/>
      <c r="K274" s="632"/>
      <c r="L274" s="632"/>
      <c r="M274" s="633"/>
      <c r="N274" s="625"/>
      <c r="O274" s="634"/>
      <c r="P274" s="632"/>
      <c r="Q274" s="632"/>
      <c r="R274" s="633"/>
      <c r="S274" s="634"/>
      <c r="T274" s="635"/>
      <c r="U274" s="636"/>
      <c r="V274" s="637"/>
      <c r="W274" s="637"/>
    </row>
    <row r="275">
      <c r="A275" s="625"/>
      <c r="B275" s="626"/>
      <c r="C275" s="627"/>
      <c r="D275" s="628"/>
      <c r="E275" s="629"/>
      <c r="F275" s="629"/>
      <c r="G275" s="629"/>
      <c r="H275" s="629"/>
      <c r="I275" s="630"/>
      <c r="J275" s="631"/>
      <c r="K275" s="632"/>
      <c r="L275" s="632"/>
      <c r="M275" s="633"/>
      <c r="N275" s="625"/>
      <c r="O275" s="634"/>
      <c r="P275" s="632"/>
      <c r="Q275" s="632"/>
      <c r="R275" s="633"/>
      <c r="S275" s="634"/>
      <c r="T275" s="635"/>
      <c r="U275" s="636"/>
      <c r="V275" s="637"/>
      <c r="W275" s="637"/>
    </row>
    <row r="276">
      <c r="A276" s="625"/>
      <c r="B276" s="626"/>
      <c r="C276" s="627"/>
      <c r="D276" s="628"/>
      <c r="E276" s="629"/>
      <c r="F276" s="629"/>
      <c r="G276" s="629"/>
      <c r="H276" s="629"/>
      <c r="I276" s="630"/>
      <c r="J276" s="631"/>
      <c r="K276" s="632"/>
      <c r="L276" s="632"/>
      <c r="M276" s="633"/>
      <c r="N276" s="625"/>
      <c r="O276" s="634"/>
      <c r="P276" s="632"/>
      <c r="Q276" s="632"/>
      <c r="R276" s="633"/>
      <c r="S276" s="634"/>
      <c r="T276" s="635"/>
      <c r="U276" s="636"/>
      <c r="V276" s="637"/>
      <c r="W276" s="637"/>
    </row>
    <row r="277">
      <c r="A277" s="625"/>
      <c r="B277" s="626"/>
      <c r="C277" s="627"/>
      <c r="D277" s="628"/>
      <c r="E277" s="629"/>
      <c r="F277" s="629"/>
      <c r="G277" s="629"/>
      <c r="H277" s="629"/>
      <c r="I277" s="630"/>
      <c r="J277" s="631"/>
      <c r="K277" s="632"/>
      <c r="L277" s="632"/>
      <c r="M277" s="633"/>
      <c r="N277" s="625"/>
      <c r="O277" s="634"/>
      <c r="P277" s="632"/>
      <c r="Q277" s="632"/>
      <c r="R277" s="633"/>
      <c r="S277" s="634"/>
      <c r="T277" s="635"/>
      <c r="U277" s="636"/>
      <c r="V277" s="637"/>
      <c r="W277" s="637"/>
    </row>
    <row r="278">
      <c r="A278" s="625"/>
      <c r="B278" s="626"/>
      <c r="C278" s="627"/>
      <c r="D278" s="628"/>
      <c r="E278" s="629"/>
      <c r="F278" s="629"/>
      <c r="G278" s="629"/>
      <c r="H278" s="629"/>
      <c r="I278" s="630"/>
      <c r="J278" s="631"/>
      <c r="K278" s="632"/>
      <c r="L278" s="632"/>
      <c r="M278" s="633"/>
      <c r="N278" s="625"/>
      <c r="O278" s="634"/>
      <c r="P278" s="632"/>
      <c r="Q278" s="632"/>
      <c r="R278" s="633"/>
      <c r="S278" s="634"/>
      <c r="T278" s="635"/>
      <c r="U278" s="636"/>
      <c r="V278" s="637"/>
      <c r="W278" s="637"/>
    </row>
    <row r="279">
      <c r="A279" s="625"/>
      <c r="B279" s="626"/>
      <c r="C279" s="627"/>
      <c r="D279" s="628"/>
      <c r="E279" s="629"/>
      <c r="F279" s="629"/>
      <c r="G279" s="629"/>
      <c r="H279" s="629"/>
      <c r="I279" s="630"/>
      <c r="J279" s="631"/>
      <c r="K279" s="632"/>
      <c r="L279" s="632"/>
      <c r="M279" s="633"/>
      <c r="N279" s="625"/>
      <c r="O279" s="634"/>
      <c r="P279" s="632"/>
      <c r="Q279" s="632"/>
      <c r="R279" s="633"/>
      <c r="S279" s="634"/>
      <c r="T279" s="635"/>
      <c r="U279" s="636"/>
      <c r="V279" s="637"/>
      <c r="W279" s="637"/>
    </row>
    <row r="280">
      <c r="A280" s="625"/>
      <c r="B280" s="626"/>
      <c r="C280" s="627"/>
      <c r="D280" s="628"/>
      <c r="E280" s="629"/>
      <c r="F280" s="629"/>
      <c r="G280" s="629"/>
      <c r="H280" s="629"/>
      <c r="I280" s="630"/>
      <c r="J280" s="631"/>
      <c r="K280" s="632"/>
      <c r="L280" s="632"/>
      <c r="M280" s="633"/>
      <c r="N280" s="625"/>
      <c r="O280" s="634"/>
      <c r="P280" s="632"/>
      <c r="Q280" s="632"/>
      <c r="R280" s="633"/>
      <c r="S280" s="634"/>
      <c r="T280" s="635"/>
      <c r="U280" s="636"/>
      <c r="V280" s="637"/>
      <c r="W280" s="637"/>
    </row>
    <row r="281">
      <c r="A281" s="625"/>
      <c r="B281" s="626"/>
      <c r="C281" s="627"/>
      <c r="D281" s="628"/>
      <c r="E281" s="629"/>
      <c r="F281" s="629"/>
      <c r="G281" s="629"/>
      <c r="H281" s="629"/>
      <c r="I281" s="630"/>
      <c r="J281" s="631"/>
      <c r="K281" s="632"/>
      <c r="L281" s="632"/>
      <c r="M281" s="633"/>
      <c r="N281" s="625"/>
      <c r="O281" s="634"/>
      <c r="P281" s="632"/>
      <c r="Q281" s="632"/>
      <c r="R281" s="633"/>
      <c r="S281" s="634"/>
      <c r="T281" s="635"/>
      <c r="U281" s="636"/>
      <c r="V281" s="637"/>
      <c r="W281" s="637"/>
    </row>
    <row r="282">
      <c r="A282" s="625"/>
      <c r="B282" s="626"/>
      <c r="C282" s="627"/>
      <c r="D282" s="628"/>
      <c r="E282" s="629"/>
      <c r="F282" s="629"/>
      <c r="G282" s="629"/>
      <c r="H282" s="629"/>
      <c r="I282" s="630"/>
      <c r="J282" s="631"/>
      <c r="K282" s="632"/>
      <c r="L282" s="632"/>
      <c r="M282" s="633"/>
      <c r="N282" s="625"/>
      <c r="O282" s="634"/>
      <c r="P282" s="632"/>
      <c r="Q282" s="632"/>
      <c r="R282" s="633"/>
      <c r="S282" s="634"/>
      <c r="T282" s="635"/>
      <c r="U282" s="636"/>
      <c r="V282" s="637"/>
      <c r="W282" s="637"/>
    </row>
    <row r="283">
      <c r="A283" s="625"/>
      <c r="B283" s="626"/>
      <c r="C283" s="627"/>
      <c r="D283" s="628"/>
      <c r="E283" s="629"/>
      <c r="F283" s="629"/>
      <c r="G283" s="629"/>
      <c r="H283" s="629"/>
      <c r="I283" s="630"/>
      <c r="J283" s="631"/>
      <c r="K283" s="632"/>
      <c r="L283" s="632"/>
      <c r="M283" s="633"/>
      <c r="N283" s="625"/>
      <c r="O283" s="634"/>
      <c r="P283" s="632"/>
      <c r="Q283" s="632"/>
      <c r="R283" s="633"/>
      <c r="S283" s="634"/>
      <c r="T283" s="635"/>
      <c r="U283" s="636"/>
      <c r="V283" s="637"/>
      <c r="W283" s="637"/>
    </row>
    <row r="284">
      <c r="A284" s="625"/>
      <c r="B284" s="626"/>
      <c r="C284" s="627"/>
      <c r="D284" s="628"/>
      <c r="E284" s="629"/>
      <c r="F284" s="629"/>
      <c r="G284" s="629"/>
      <c r="H284" s="629"/>
      <c r="I284" s="630"/>
      <c r="J284" s="631"/>
      <c r="K284" s="632"/>
      <c r="L284" s="632"/>
      <c r="M284" s="633"/>
      <c r="N284" s="625"/>
      <c r="O284" s="634"/>
      <c r="P284" s="632"/>
      <c r="Q284" s="632"/>
      <c r="R284" s="633"/>
      <c r="S284" s="634"/>
      <c r="T284" s="635"/>
      <c r="U284" s="636"/>
      <c r="V284" s="637"/>
      <c r="W284" s="637"/>
    </row>
    <row r="285">
      <c r="A285" s="625"/>
      <c r="B285" s="626"/>
      <c r="C285" s="627"/>
      <c r="D285" s="628"/>
      <c r="E285" s="629"/>
      <c r="F285" s="629"/>
      <c r="G285" s="629"/>
      <c r="H285" s="629"/>
      <c r="I285" s="630"/>
      <c r="J285" s="631"/>
      <c r="K285" s="632"/>
      <c r="L285" s="632"/>
      <c r="M285" s="633"/>
      <c r="N285" s="625"/>
      <c r="O285" s="634"/>
      <c r="P285" s="632"/>
      <c r="Q285" s="632"/>
      <c r="R285" s="633"/>
      <c r="S285" s="634"/>
      <c r="T285" s="635"/>
      <c r="U285" s="636"/>
      <c r="V285" s="637"/>
      <c r="W285" s="637"/>
    </row>
    <row r="286">
      <c r="A286" s="625"/>
      <c r="B286" s="626"/>
      <c r="C286" s="627"/>
      <c r="D286" s="628"/>
      <c r="E286" s="629"/>
      <c r="F286" s="629"/>
      <c r="G286" s="629"/>
      <c r="H286" s="629"/>
      <c r="I286" s="630"/>
      <c r="J286" s="631"/>
      <c r="K286" s="632"/>
      <c r="L286" s="632"/>
      <c r="M286" s="633"/>
      <c r="N286" s="625"/>
      <c r="O286" s="634"/>
      <c r="P286" s="632"/>
      <c r="Q286" s="632"/>
      <c r="R286" s="633"/>
      <c r="S286" s="634"/>
      <c r="T286" s="635"/>
      <c r="U286" s="636"/>
      <c r="V286" s="637"/>
      <c r="W286" s="637"/>
    </row>
    <row r="287">
      <c r="A287" s="625"/>
      <c r="B287" s="626"/>
      <c r="C287" s="627"/>
      <c r="D287" s="628"/>
      <c r="E287" s="629"/>
      <c r="F287" s="629"/>
      <c r="G287" s="629"/>
      <c r="H287" s="629"/>
      <c r="I287" s="630"/>
      <c r="J287" s="631"/>
      <c r="K287" s="632"/>
      <c r="L287" s="632"/>
      <c r="M287" s="633"/>
      <c r="N287" s="625"/>
      <c r="O287" s="634"/>
      <c r="P287" s="632"/>
      <c r="Q287" s="632"/>
      <c r="R287" s="633"/>
      <c r="S287" s="634"/>
      <c r="T287" s="635"/>
      <c r="U287" s="636"/>
      <c r="V287" s="637"/>
      <c r="W287" s="637"/>
    </row>
    <row r="288">
      <c r="A288" s="625"/>
      <c r="B288" s="626"/>
      <c r="C288" s="627"/>
      <c r="D288" s="628"/>
      <c r="E288" s="629"/>
      <c r="F288" s="629"/>
      <c r="G288" s="629"/>
      <c r="H288" s="629"/>
      <c r="I288" s="630"/>
      <c r="J288" s="631"/>
      <c r="K288" s="632"/>
      <c r="L288" s="632"/>
      <c r="M288" s="633"/>
      <c r="N288" s="625"/>
      <c r="O288" s="634"/>
      <c r="P288" s="632"/>
      <c r="Q288" s="632"/>
      <c r="R288" s="633"/>
      <c r="S288" s="634"/>
      <c r="T288" s="635"/>
      <c r="U288" s="636"/>
      <c r="V288" s="637"/>
      <c r="W288" s="637"/>
    </row>
    <row r="289">
      <c r="A289" s="625"/>
      <c r="B289" s="626"/>
      <c r="C289" s="627"/>
      <c r="D289" s="628"/>
      <c r="E289" s="629"/>
      <c r="F289" s="629"/>
      <c r="G289" s="629"/>
      <c r="H289" s="629"/>
      <c r="I289" s="630"/>
      <c r="J289" s="631"/>
      <c r="K289" s="632"/>
      <c r="L289" s="632"/>
      <c r="M289" s="633"/>
      <c r="N289" s="625"/>
      <c r="O289" s="634"/>
      <c r="P289" s="632"/>
      <c r="Q289" s="632"/>
      <c r="R289" s="633"/>
      <c r="S289" s="634"/>
      <c r="T289" s="635"/>
      <c r="U289" s="636"/>
      <c r="V289" s="637"/>
      <c r="W289" s="637"/>
    </row>
    <row r="290">
      <c r="A290" s="625"/>
      <c r="B290" s="626"/>
      <c r="C290" s="627"/>
      <c r="D290" s="628"/>
      <c r="E290" s="629"/>
      <c r="F290" s="629"/>
      <c r="G290" s="629"/>
      <c r="H290" s="629"/>
      <c r="I290" s="630"/>
      <c r="J290" s="631"/>
      <c r="K290" s="632"/>
      <c r="L290" s="632"/>
      <c r="M290" s="633"/>
      <c r="N290" s="625"/>
      <c r="O290" s="634"/>
      <c r="P290" s="632"/>
      <c r="Q290" s="632"/>
      <c r="R290" s="633"/>
      <c r="S290" s="634"/>
      <c r="T290" s="635"/>
      <c r="U290" s="636"/>
      <c r="V290" s="637"/>
      <c r="W290" s="637"/>
    </row>
    <row r="291">
      <c r="A291" s="625"/>
      <c r="B291" s="626"/>
      <c r="C291" s="627"/>
      <c r="D291" s="628"/>
      <c r="E291" s="629"/>
      <c r="F291" s="629"/>
      <c r="G291" s="629"/>
      <c r="H291" s="629"/>
      <c r="I291" s="630"/>
      <c r="J291" s="631"/>
      <c r="K291" s="632"/>
      <c r="L291" s="632"/>
      <c r="M291" s="633"/>
      <c r="N291" s="625"/>
      <c r="O291" s="634"/>
      <c r="P291" s="632"/>
      <c r="Q291" s="632"/>
      <c r="R291" s="633"/>
      <c r="S291" s="634"/>
      <c r="T291" s="635"/>
      <c r="U291" s="636"/>
      <c r="V291" s="637"/>
      <c r="W291" s="637"/>
    </row>
    <row r="292">
      <c r="A292" s="625"/>
      <c r="B292" s="626"/>
      <c r="C292" s="627"/>
      <c r="D292" s="628"/>
      <c r="E292" s="629"/>
      <c r="F292" s="629"/>
      <c r="G292" s="629"/>
      <c r="H292" s="629"/>
      <c r="I292" s="630"/>
      <c r="J292" s="631"/>
      <c r="K292" s="632"/>
      <c r="L292" s="632"/>
      <c r="M292" s="633"/>
      <c r="N292" s="625"/>
      <c r="O292" s="634"/>
      <c r="P292" s="632"/>
      <c r="Q292" s="632"/>
      <c r="R292" s="633"/>
      <c r="S292" s="634"/>
      <c r="T292" s="635"/>
      <c r="U292" s="636"/>
      <c r="V292" s="637"/>
      <c r="W292" s="637"/>
    </row>
    <row r="293">
      <c r="A293" s="625"/>
      <c r="B293" s="626"/>
      <c r="C293" s="627"/>
      <c r="D293" s="628"/>
      <c r="E293" s="629"/>
      <c r="F293" s="629"/>
      <c r="G293" s="629"/>
      <c r="H293" s="629"/>
      <c r="I293" s="630"/>
      <c r="J293" s="631"/>
      <c r="K293" s="632"/>
      <c r="L293" s="632"/>
      <c r="M293" s="633"/>
      <c r="N293" s="625"/>
      <c r="O293" s="634"/>
      <c r="P293" s="632"/>
      <c r="Q293" s="632"/>
      <c r="R293" s="633"/>
      <c r="S293" s="634"/>
      <c r="T293" s="635"/>
      <c r="U293" s="636"/>
      <c r="V293" s="637"/>
      <c r="W293" s="637"/>
    </row>
    <row r="294">
      <c r="A294" s="625"/>
      <c r="B294" s="626"/>
      <c r="C294" s="627"/>
      <c r="D294" s="628"/>
      <c r="E294" s="629"/>
      <c r="F294" s="629"/>
      <c r="G294" s="629"/>
      <c r="H294" s="629"/>
      <c r="I294" s="630"/>
      <c r="J294" s="631"/>
      <c r="K294" s="632"/>
      <c r="L294" s="632"/>
      <c r="M294" s="633"/>
      <c r="N294" s="625"/>
      <c r="O294" s="634"/>
      <c r="P294" s="632"/>
      <c r="Q294" s="632"/>
      <c r="R294" s="633"/>
      <c r="S294" s="634"/>
      <c r="T294" s="635"/>
      <c r="U294" s="636"/>
      <c r="V294" s="637"/>
      <c r="W294" s="637"/>
    </row>
    <row r="295">
      <c r="A295" s="625"/>
      <c r="B295" s="626"/>
      <c r="C295" s="627"/>
      <c r="D295" s="628"/>
      <c r="E295" s="629"/>
      <c r="F295" s="629"/>
      <c r="G295" s="629"/>
      <c r="H295" s="629"/>
      <c r="I295" s="630"/>
      <c r="J295" s="631"/>
      <c r="K295" s="632"/>
      <c r="L295" s="632"/>
      <c r="M295" s="633"/>
      <c r="N295" s="625"/>
      <c r="O295" s="634"/>
      <c r="P295" s="632"/>
      <c r="Q295" s="632"/>
      <c r="R295" s="633"/>
      <c r="S295" s="634"/>
      <c r="T295" s="635"/>
      <c r="U295" s="636"/>
      <c r="V295" s="637"/>
      <c r="W295" s="637"/>
    </row>
    <row r="296">
      <c r="A296" s="625"/>
      <c r="B296" s="626"/>
      <c r="C296" s="627"/>
      <c r="D296" s="628"/>
      <c r="E296" s="629"/>
      <c r="F296" s="629"/>
      <c r="G296" s="629"/>
      <c r="H296" s="629"/>
      <c r="I296" s="630"/>
      <c r="J296" s="631"/>
      <c r="K296" s="632"/>
      <c r="L296" s="632"/>
      <c r="M296" s="633"/>
      <c r="N296" s="625"/>
      <c r="O296" s="634"/>
      <c r="P296" s="632"/>
      <c r="Q296" s="632"/>
      <c r="R296" s="633"/>
      <c r="S296" s="634"/>
      <c r="T296" s="635"/>
      <c r="U296" s="636"/>
      <c r="V296" s="637"/>
      <c r="W296" s="637"/>
    </row>
    <row r="297">
      <c r="A297" s="625"/>
      <c r="B297" s="626"/>
      <c r="C297" s="627"/>
      <c r="D297" s="628"/>
      <c r="E297" s="629"/>
      <c r="F297" s="629"/>
      <c r="G297" s="629"/>
      <c r="H297" s="629"/>
      <c r="I297" s="630"/>
      <c r="J297" s="631"/>
      <c r="K297" s="632"/>
      <c r="L297" s="632"/>
      <c r="M297" s="633"/>
      <c r="N297" s="625"/>
      <c r="O297" s="634"/>
      <c r="P297" s="632"/>
      <c r="Q297" s="632"/>
      <c r="R297" s="633"/>
      <c r="S297" s="634"/>
      <c r="T297" s="635"/>
      <c r="U297" s="636"/>
      <c r="V297" s="637"/>
      <c r="W297" s="637"/>
    </row>
    <row r="298">
      <c r="A298" s="625"/>
      <c r="B298" s="626"/>
      <c r="C298" s="627"/>
      <c r="D298" s="628"/>
      <c r="E298" s="629"/>
      <c r="F298" s="629"/>
      <c r="G298" s="629"/>
      <c r="H298" s="629"/>
      <c r="I298" s="630"/>
      <c r="J298" s="631"/>
      <c r="K298" s="632"/>
      <c r="L298" s="632"/>
      <c r="M298" s="633"/>
      <c r="N298" s="625"/>
      <c r="O298" s="634"/>
      <c r="P298" s="632"/>
      <c r="Q298" s="632"/>
      <c r="R298" s="633"/>
      <c r="S298" s="634"/>
      <c r="T298" s="635"/>
      <c r="U298" s="636"/>
      <c r="V298" s="637"/>
      <c r="W298" s="637"/>
    </row>
    <row r="299">
      <c r="A299" s="625"/>
      <c r="B299" s="626"/>
      <c r="C299" s="627"/>
      <c r="D299" s="628"/>
      <c r="E299" s="629"/>
      <c r="F299" s="629"/>
      <c r="G299" s="629"/>
      <c r="H299" s="629"/>
      <c r="I299" s="630"/>
      <c r="J299" s="631"/>
      <c r="K299" s="632"/>
      <c r="L299" s="632"/>
      <c r="M299" s="633"/>
      <c r="N299" s="625"/>
      <c r="O299" s="634"/>
      <c r="P299" s="632"/>
      <c r="Q299" s="632"/>
      <c r="R299" s="633"/>
      <c r="S299" s="634"/>
      <c r="T299" s="635"/>
      <c r="U299" s="636"/>
      <c r="V299" s="637"/>
      <c r="W299" s="637"/>
    </row>
    <row r="300">
      <c r="A300" s="625"/>
      <c r="B300" s="626"/>
      <c r="C300" s="627"/>
      <c r="D300" s="628"/>
      <c r="E300" s="629"/>
      <c r="F300" s="629"/>
      <c r="G300" s="629"/>
      <c r="H300" s="629"/>
      <c r="I300" s="630"/>
      <c r="J300" s="631"/>
      <c r="K300" s="632"/>
      <c r="L300" s="632"/>
      <c r="M300" s="633"/>
      <c r="N300" s="625"/>
      <c r="O300" s="634"/>
      <c r="P300" s="632"/>
      <c r="Q300" s="632"/>
      <c r="R300" s="633"/>
      <c r="S300" s="634"/>
      <c r="T300" s="635"/>
      <c r="U300" s="636"/>
      <c r="V300" s="637"/>
      <c r="W300" s="637"/>
    </row>
    <row r="301">
      <c r="A301" s="625"/>
      <c r="B301" s="626"/>
      <c r="C301" s="627"/>
      <c r="D301" s="628"/>
      <c r="E301" s="629"/>
      <c r="F301" s="629"/>
      <c r="G301" s="629"/>
      <c r="H301" s="629"/>
      <c r="I301" s="630"/>
      <c r="J301" s="631"/>
      <c r="K301" s="632"/>
      <c r="L301" s="632"/>
      <c r="M301" s="633"/>
      <c r="N301" s="625"/>
      <c r="O301" s="634"/>
      <c r="P301" s="632"/>
      <c r="Q301" s="632"/>
      <c r="R301" s="633"/>
      <c r="S301" s="634"/>
      <c r="T301" s="635"/>
      <c r="U301" s="636"/>
      <c r="V301" s="637"/>
      <c r="W301" s="637"/>
    </row>
    <row r="302">
      <c r="A302" s="625"/>
      <c r="B302" s="626"/>
      <c r="C302" s="627"/>
      <c r="D302" s="628"/>
      <c r="E302" s="629"/>
      <c r="F302" s="629"/>
      <c r="G302" s="629"/>
      <c r="H302" s="629"/>
      <c r="I302" s="630"/>
      <c r="J302" s="631"/>
      <c r="K302" s="632"/>
      <c r="L302" s="632"/>
      <c r="M302" s="633"/>
      <c r="N302" s="625"/>
      <c r="O302" s="634"/>
      <c r="P302" s="632"/>
      <c r="Q302" s="632"/>
      <c r="R302" s="633"/>
      <c r="S302" s="634"/>
      <c r="T302" s="635"/>
      <c r="U302" s="636"/>
      <c r="V302" s="637"/>
      <c r="W302" s="637"/>
    </row>
    <row r="303">
      <c r="A303" s="625"/>
      <c r="B303" s="626"/>
      <c r="C303" s="627"/>
      <c r="D303" s="628"/>
      <c r="E303" s="629"/>
      <c r="F303" s="629"/>
      <c r="G303" s="629"/>
      <c r="H303" s="629"/>
      <c r="I303" s="630"/>
      <c r="J303" s="631"/>
      <c r="K303" s="632"/>
      <c r="L303" s="632"/>
      <c r="M303" s="633"/>
      <c r="N303" s="625"/>
      <c r="O303" s="634"/>
      <c r="P303" s="632"/>
      <c r="Q303" s="632"/>
      <c r="R303" s="633"/>
      <c r="S303" s="634"/>
      <c r="T303" s="635"/>
      <c r="U303" s="636"/>
      <c r="V303" s="637"/>
      <c r="W303" s="637"/>
    </row>
    <row r="304">
      <c r="A304" s="625"/>
      <c r="B304" s="626"/>
      <c r="C304" s="627"/>
      <c r="D304" s="628"/>
      <c r="E304" s="629"/>
      <c r="F304" s="629"/>
      <c r="G304" s="629"/>
      <c r="H304" s="629"/>
      <c r="I304" s="630"/>
      <c r="J304" s="631"/>
      <c r="K304" s="632"/>
      <c r="L304" s="632"/>
      <c r="M304" s="633"/>
      <c r="N304" s="625"/>
      <c r="O304" s="634"/>
      <c r="P304" s="632"/>
      <c r="Q304" s="632"/>
      <c r="R304" s="633"/>
      <c r="S304" s="634"/>
      <c r="T304" s="635"/>
      <c r="U304" s="636"/>
      <c r="V304" s="637"/>
      <c r="W304" s="637"/>
    </row>
    <row r="305">
      <c r="A305" s="625"/>
      <c r="B305" s="626"/>
      <c r="C305" s="627"/>
      <c r="D305" s="628"/>
      <c r="E305" s="629"/>
      <c r="F305" s="629"/>
      <c r="G305" s="629"/>
      <c r="H305" s="629"/>
      <c r="I305" s="630"/>
      <c r="J305" s="631"/>
      <c r="K305" s="632"/>
      <c r="L305" s="632"/>
      <c r="M305" s="633"/>
      <c r="N305" s="625"/>
      <c r="O305" s="634"/>
      <c r="P305" s="632"/>
      <c r="Q305" s="632"/>
      <c r="R305" s="633"/>
      <c r="S305" s="634"/>
      <c r="T305" s="635"/>
      <c r="U305" s="636"/>
      <c r="V305" s="637"/>
      <c r="W305" s="637"/>
    </row>
    <row r="306">
      <c r="A306" s="625"/>
      <c r="B306" s="626"/>
      <c r="C306" s="627"/>
      <c r="D306" s="628"/>
      <c r="E306" s="629"/>
      <c r="F306" s="629"/>
      <c r="G306" s="629"/>
      <c r="H306" s="629"/>
      <c r="I306" s="630"/>
      <c r="J306" s="631"/>
      <c r="K306" s="632"/>
      <c r="L306" s="632"/>
      <c r="M306" s="633"/>
      <c r="N306" s="625"/>
      <c r="O306" s="634"/>
      <c r="P306" s="632"/>
      <c r="Q306" s="632"/>
      <c r="R306" s="633"/>
      <c r="S306" s="634"/>
      <c r="T306" s="635"/>
      <c r="U306" s="636"/>
      <c r="V306" s="637"/>
      <c r="W306" s="637"/>
    </row>
    <row r="307">
      <c r="A307" s="625"/>
      <c r="B307" s="626"/>
      <c r="C307" s="627"/>
      <c r="D307" s="628"/>
      <c r="E307" s="629"/>
      <c r="F307" s="629"/>
      <c r="G307" s="629"/>
      <c r="H307" s="629"/>
      <c r="I307" s="630"/>
      <c r="J307" s="631"/>
      <c r="K307" s="632"/>
      <c r="L307" s="632"/>
      <c r="M307" s="633"/>
      <c r="N307" s="625"/>
      <c r="O307" s="634"/>
      <c r="P307" s="632"/>
      <c r="Q307" s="632"/>
      <c r="R307" s="633"/>
      <c r="S307" s="634"/>
      <c r="T307" s="635"/>
      <c r="U307" s="636"/>
      <c r="V307" s="637"/>
      <c r="W307" s="637"/>
    </row>
    <row r="308">
      <c r="A308" s="625"/>
      <c r="B308" s="626"/>
      <c r="C308" s="627"/>
      <c r="D308" s="628"/>
      <c r="E308" s="629"/>
      <c r="F308" s="629"/>
      <c r="G308" s="629"/>
      <c r="H308" s="629"/>
      <c r="I308" s="630"/>
      <c r="J308" s="631"/>
      <c r="K308" s="632"/>
      <c r="L308" s="632"/>
      <c r="M308" s="633"/>
      <c r="N308" s="625"/>
      <c r="O308" s="634"/>
      <c r="P308" s="632"/>
      <c r="Q308" s="632"/>
      <c r="R308" s="633"/>
      <c r="S308" s="634"/>
      <c r="T308" s="635"/>
      <c r="U308" s="636"/>
      <c r="V308" s="637"/>
      <c r="W308" s="637"/>
    </row>
    <row r="309">
      <c r="A309" s="625"/>
      <c r="B309" s="626"/>
      <c r="C309" s="627"/>
      <c r="D309" s="628"/>
      <c r="E309" s="629"/>
      <c r="F309" s="629"/>
      <c r="G309" s="629"/>
      <c r="H309" s="629"/>
      <c r="I309" s="630"/>
      <c r="J309" s="631"/>
      <c r="K309" s="632"/>
      <c r="L309" s="632"/>
      <c r="M309" s="633"/>
      <c r="N309" s="625"/>
      <c r="O309" s="634"/>
      <c r="P309" s="632"/>
      <c r="Q309" s="632"/>
      <c r="R309" s="633"/>
      <c r="S309" s="634"/>
      <c r="T309" s="635"/>
      <c r="U309" s="636"/>
      <c r="V309" s="637"/>
      <c r="W309" s="637"/>
    </row>
    <row r="310">
      <c r="A310" s="625"/>
      <c r="B310" s="626"/>
      <c r="C310" s="627"/>
      <c r="D310" s="628"/>
      <c r="E310" s="629"/>
      <c r="F310" s="629"/>
      <c r="G310" s="629"/>
      <c r="H310" s="629"/>
      <c r="I310" s="630"/>
      <c r="J310" s="631"/>
      <c r="K310" s="632"/>
      <c r="L310" s="632"/>
      <c r="M310" s="633"/>
      <c r="N310" s="625"/>
      <c r="O310" s="634"/>
      <c r="P310" s="632"/>
      <c r="Q310" s="632"/>
      <c r="R310" s="633"/>
      <c r="S310" s="634"/>
      <c r="T310" s="635"/>
      <c r="U310" s="636"/>
      <c r="V310" s="637"/>
      <c r="W310" s="637"/>
    </row>
    <row r="311">
      <c r="A311" s="625"/>
      <c r="B311" s="626"/>
      <c r="C311" s="627"/>
      <c r="D311" s="628"/>
      <c r="E311" s="629"/>
      <c r="F311" s="629"/>
      <c r="G311" s="629"/>
      <c r="H311" s="629"/>
      <c r="I311" s="630"/>
      <c r="J311" s="631"/>
      <c r="K311" s="632"/>
      <c r="L311" s="632"/>
      <c r="M311" s="633"/>
      <c r="N311" s="625"/>
      <c r="O311" s="634"/>
      <c r="P311" s="632"/>
      <c r="Q311" s="632"/>
      <c r="R311" s="633"/>
      <c r="S311" s="634"/>
      <c r="T311" s="635"/>
      <c r="U311" s="636"/>
      <c r="V311" s="637"/>
      <c r="W311" s="637"/>
    </row>
    <row r="312">
      <c r="A312" s="625"/>
      <c r="B312" s="626"/>
      <c r="C312" s="627"/>
      <c r="D312" s="628"/>
      <c r="E312" s="629"/>
      <c r="F312" s="629"/>
      <c r="G312" s="629"/>
      <c r="H312" s="629"/>
      <c r="I312" s="630"/>
      <c r="J312" s="631"/>
      <c r="K312" s="632"/>
      <c r="L312" s="632"/>
      <c r="M312" s="633"/>
      <c r="N312" s="625"/>
      <c r="O312" s="634"/>
      <c r="P312" s="632"/>
      <c r="Q312" s="632"/>
      <c r="R312" s="633"/>
      <c r="S312" s="634"/>
      <c r="T312" s="635"/>
      <c r="U312" s="636"/>
      <c r="V312" s="637"/>
      <c r="W312" s="637"/>
    </row>
    <row r="313">
      <c r="A313" s="625"/>
      <c r="B313" s="626"/>
      <c r="C313" s="627"/>
      <c r="D313" s="628"/>
      <c r="E313" s="629"/>
      <c r="F313" s="629"/>
      <c r="G313" s="629"/>
      <c r="H313" s="629"/>
      <c r="I313" s="630"/>
      <c r="J313" s="631"/>
      <c r="K313" s="632"/>
      <c r="L313" s="632"/>
      <c r="M313" s="633"/>
      <c r="N313" s="625"/>
      <c r="O313" s="634"/>
      <c r="P313" s="632"/>
      <c r="Q313" s="632"/>
      <c r="R313" s="633"/>
      <c r="S313" s="634"/>
      <c r="T313" s="635"/>
      <c r="U313" s="636"/>
      <c r="V313" s="637"/>
      <c r="W313" s="637"/>
    </row>
    <row r="314">
      <c r="A314" s="625"/>
      <c r="B314" s="626"/>
      <c r="C314" s="627"/>
      <c r="D314" s="628"/>
      <c r="E314" s="629"/>
      <c r="F314" s="629"/>
      <c r="G314" s="629"/>
      <c r="H314" s="629"/>
      <c r="I314" s="630"/>
      <c r="J314" s="631"/>
      <c r="K314" s="632"/>
      <c r="L314" s="632"/>
      <c r="M314" s="633"/>
      <c r="N314" s="625"/>
      <c r="O314" s="634"/>
      <c r="P314" s="632"/>
      <c r="Q314" s="632"/>
      <c r="R314" s="633"/>
      <c r="S314" s="634"/>
      <c r="T314" s="635"/>
      <c r="U314" s="636"/>
      <c r="V314" s="637"/>
      <c r="W314" s="637"/>
    </row>
    <row r="315">
      <c r="A315" s="625"/>
      <c r="B315" s="626"/>
      <c r="C315" s="627"/>
      <c r="D315" s="628"/>
      <c r="E315" s="629"/>
      <c r="F315" s="629"/>
      <c r="G315" s="629"/>
      <c r="H315" s="629"/>
      <c r="I315" s="630"/>
      <c r="J315" s="631"/>
      <c r="K315" s="632"/>
      <c r="L315" s="632"/>
      <c r="M315" s="633"/>
      <c r="N315" s="625"/>
      <c r="O315" s="634"/>
      <c r="P315" s="632"/>
      <c r="Q315" s="632"/>
      <c r="R315" s="633"/>
      <c r="S315" s="634"/>
      <c r="T315" s="635"/>
      <c r="U315" s="636"/>
      <c r="V315" s="637"/>
      <c r="W315" s="637"/>
    </row>
    <row r="316">
      <c r="A316" s="625"/>
      <c r="B316" s="626"/>
      <c r="C316" s="627"/>
      <c r="D316" s="628"/>
      <c r="E316" s="629"/>
      <c r="F316" s="629"/>
      <c r="G316" s="629"/>
      <c r="H316" s="629"/>
      <c r="I316" s="630"/>
      <c r="J316" s="631"/>
      <c r="K316" s="632"/>
      <c r="L316" s="632"/>
      <c r="M316" s="633"/>
      <c r="N316" s="625"/>
      <c r="O316" s="634"/>
      <c r="P316" s="632"/>
      <c r="Q316" s="632"/>
      <c r="R316" s="633"/>
      <c r="S316" s="634"/>
      <c r="T316" s="635"/>
      <c r="U316" s="636"/>
      <c r="V316" s="637"/>
      <c r="W316" s="637"/>
    </row>
    <row r="317">
      <c r="A317" s="625"/>
      <c r="B317" s="626"/>
      <c r="C317" s="627"/>
      <c r="D317" s="628"/>
      <c r="E317" s="629"/>
      <c r="F317" s="629"/>
      <c r="G317" s="629"/>
      <c r="H317" s="629"/>
      <c r="I317" s="630"/>
      <c r="J317" s="631"/>
      <c r="K317" s="632"/>
      <c r="L317" s="632"/>
      <c r="M317" s="633"/>
      <c r="N317" s="625"/>
      <c r="O317" s="634"/>
      <c r="P317" s="632"/>
      <c r="Q317" s="632"/>
      <c r="R317" s="633"/>
      <c r="S317" s="634"/>
      <c r="T317" s="635"/>
      <c r="U317" s="636"/>
      <c r="V317" s="637"/>
      <c r="W317" s="637"/>
    </row>
    <row r="318">
      <c r="A318" s="625"/>
      <c r="B318" s="626"/>
      <c r="C318" s="627"/>
      <c r="D318" s="628"/>
      <c r="E318" s="629"/>
      <c r="F318" s="629"/>
      <c r="G318" s="629"/>
      <c r="H318" s="629"/>
      <c r="I318" s="630"/>
      <c r="J318" s="631"/>
      <c r="K318" s="632"/>
      <c r="L318" s="632"/>
      <c r="M318" s="633"/>
      <c r="N318" s="625"/>
      <c r="O318" s="634"/>
      <c r="P318" s="632"/>
      <c r="Q318" s="632"/>
      <c r="R318" s="633"/>
      <c r="S318" s="634"/>
      <c r="T318" s="635"/>
      <c r="U318" s="636"/>
      <c r="V318" s="637"/>
      <c r="W318" s="637"/>
    </row>
    <row r="319">
      <c r="A319" s="625"/>
      <c r="B319" s="626"/>
      <c r="C319" s="627"/>
      <c r="D319" s="628"/>
      <c r="E319" s="629"/>
      <c r="F319" s="629"/>
      <c r="G319" s="629"/>
      <c r="H319" s="629"/>
      <c r="I319" s="630"/>
      <c r="J319" s="631"/>
      <c r="K319" s="632"/>
      <c r="L319" s="632"/>
      <c r="M319" s="633"/>
      <c r="N319" s="625"/>
      <c r="O319" s="634"/>
      <c r="P319" s="632"/>
      <c r="Q319" s="632"/>
      <c r="R319" s="633"/>
      <c r="S319" s="634"/>
      <c r="T319" s="635"/>
      <c r="U319" s="636"/>
      <c r="V319" s="637"/>
      <c r="W319" s="637"/>
    </row>
    <row r="320">
      <c r="A320" s="625"/>
      <c r="B320" s="626"/>
      <c r="C320" s="627"/>
      <c r="D320" s="628"/>
      <c r="E320" s="629"/>
      <c r="F320" s="629"/>
      <c r="G320" s="629"/>
      <c r="H320" s="629"/>
      <c r="I320" s="630"/>
      <c r="J320" s="631"/>
      <c r="K320" s="632"/>
      <c r="L320" s="632"/>
      <c r="M320" s="633"/>
      <c r="N320" s="625"/>
      <c r="O320" s="634"/>
      <c r="P320" s="632"/>
      <c r="Q320" s="632"/>
      <c r="R320" s="633"/>
      <c r="S320" s="634"/>
      <c r="T320" s="635"/>
      <c r="U320" s="636"/>
      <c r="V320" s="637"/>
      <c r="W320" s="637"/>
    </row>
    <row r="321">
      <c r="A321" s="625"/>
      <c r="B321" s="626"/>
      <c r="C321" s="627"/>
      <c r="D321" s="628"/>
      <c r="E321" s="629"/>
      <c r="F321" s="629"/>
      <c r="G321" s="629"/>
      <c r="H321" s="629"/>
      <c r="I321" s="630"/>
      <c r="J321" s="631"/>
      <c r="K321" s="632"/>
      <c r="L321" s="632"/>
      <c r="M321" s="633"/>
      <c r="N321" s="625"/>
      <c r="O321" s="634"/>
      <c r="P321" s="632"/>
      <c r="Q321" s="632"/>
      <c r="R321" s="633"/>
      <c r="S321" s="634"/>
      <c r="T321" s="635"/>
      <c r="U321" s="636"/>
      <c r="V321" s="637"/>
      <c r="W321" s="637"/>
    </row>
    <row r="322">
      <c r="A322" s="625"/>
      <c r="B322" s="626"/>
      <c r="C322" s="627"/>
      <c r="D322" s="628"/>
      <c r="E322" s="629"/>
      <c r="F322" s="629"/>
      <c r="G322" s="629"/>
      <c r="H322" s="629"/>
      <c r="I322" s="630"/>
      <c r="J322" s="631"/>
      <c r="K322" s="632"/>
      <c r="L322" s="632"/>
      <c r="M322" s="633"/>
      <c r="N322" s="625"/>
      <c r="O322" s="634"/>
      <c r="P322" s="632"/>
      <c r="Q322" s="632"/>
      <c r="R322" s="633"/>
      <c r="S322" s="634"/>
      <c r="T322" s="635"/>
      <c r="U322" s="636"/>
      <c r="V322" s="637"/>
      <c r="W322" s="637"/>
    </row>
    <row r="323">
      <c r="A323" s="625"/>
      <c r="B323" s="626"/>
      <c r="C323" s="627"/>
      <c r="D323" s="628"/>
      <c r="E323" s="629"/>
      <c r="F323" s="629"/>
      <c r="G323" s="629"/>
      <c r="H323" s="629"/>
      <c r="I323" s="630"/>
      <c r="J323" s="631"/>
      <c r="K323" s="632"/>
      <c r="L323" s="632"/>
      <c r="M323" s="633"/>
      <c r="N323" s="625"/>
      <c r="O323" s="634"/>
      <c r="P323" s="632"/>
      <c r="Q323" s="632"/>
      <c r="R323" s="633"/>
      <c r="S323" s="634"/>
      <c r="T323" s="635"/>
      <c r="U323" s="636"/>
      <c r="V323" s="637"/>
      <c r="W323" s="637"/>
    </row>
    <row r="324">
      <c r="A324" s="625"/>
      <c r="B324" s="626"/>
      <c r="C324" s="627"/>
      <c r="D324" s="628"/>
      <c r="E324" s="629"/>
      <c r="F324" s="629"/>
      <c r="G324" s="629"/>
      <c r="H324" s="629"/>
      <c r="I324" s="630"/>
      <c r="J324" s="631"/>
      <c r="K324" s="632"/>
      <c r="L324" s="632"/>
      <c r="M324" s="633"/>
      <c r="N324" s="625"/>
      <c r="O324" s="634"/>
      <c r="P324" s="632"/>
      <c r="Q324" s="632"/>
      <c r="R324" s="633"/>
      <c r="S324" s="634"/>
      <c r="T324" s="635"/>
      <c r="U324" s="636"/>
      <c r="V324" s="637"/>
      <c r="W324" s="637"/>
    </row>
    <row r="325">
      <c r="A325" s="625"/>
      <c r="B325" s="626"/>
      <c r="C325" s="627"/>
      <c r="D325" s="628"/>
      <c r="E325" s="629"/>
      <c r="F325" s="629"/>
      <c r="G325" s="629"/>
      <c r="H325" s="629"/>
      <c r="I325" s="630"/>
      <c r="J325" s="631"/>
      <c r="K325" s="632"/>
      <c r="L325" s="632"/>
      <c r="M325" s="633"/>
      <c r="N325" s="625"/>
      <c r="O325" s="634"/>
      <c r="P325" s="632"/>
      <c r="Q325" s="632"/>
      <c r="R325" s="633"/>
      <c r="S325" s="634"/>
      <c r="T325" s="635"/>
      <c r="U325" s="636"/>
      <c r="V325" s="637"/>
      <c r="W325" s="637"/>
    </row>
    <row r="326">
      <c r="A326" s="625"/>
      <c r="B326" s="626"/>
      <c r="C326" s="627"/>
      <c r="D326" s="628"/>
      <c r="E326" s="629"/>
      <c r="F326" s="629"/>
      <c r="G326" s="629"/>
      <c r="H326" s="629"/>
      <c r="I326" s="630"/>
      <c r="J326" s="631"/>
      <c r="K326" s="632"/>
      <c r="L326" s="632"/>
      <c r="M326" s="633"/>
      <c r="N326" s="625"/>
      <c r="O326" s="634"/>
      <c r="P326" s="632"/>
      <c r="Q326" s="632"/>
      <c r="R326" s="633"/>
      <c r="S326" s="634"/>
      <c r="T326" s="635"/>
      <c r="U326" s="636"/>
      <c r="V326" s="637"/>
      <c r="W326" s="637"/>
    </row>
    <row r="327">
      <c r="A327" s="625"/>
      <c r="B327" s="626"/>
      <c r="C327" s="627"/>
      <c r="D327" s="628"/>
      <c r="E327" s="629"/>
      <c r="F327" s="629"/>
      <c r="G327" s="629"/>
      <c r="H327" s="629"/>
      <c r="I327" s="630"/>
      <c r="J327" s="631"/>
      <c r="K327" s="632"/>
      <c r="L327" s="632"/>
      <c r="M327" s="633"/>
      <c r="N327" s="625"/>
      <c r="O327" s="634"/>
      <c r="P327" s="632"/>
      <c r="Q327" s="632"/>
      <c r="R327" s="633"/>
      <c r="S327" s="634"/>
      <c r="T327" s="635"/>
      <c r="U327" s="636"/>
      <c r="V327" s="637"/>
      <c r="W327" s="637"/>
    </row>
    <row r="328">
      <c r="A328" s="625"/>
      <c r="B328" s="626"/>
      <c r="C328" s="627"/>
      <c r="D328" s="628"/>
      <c r="E328" s="629"/>
      <c r="F328" s="629"/>
      <c r="G328" s="629"/>
      <c r="H328" s="629"/>
      <c r="I328" s="630"/>
      <c r="J328" s="631"/>
      <c r="K328" s="632"/>
      <c r="L328" s="632"/>
      <c r="M328" s="633"/>
      <c r="N328" s="625"/>
      <c r="O328" s="634"/>
      <c r="P328" s="632"/>
      <c r="Q328" s="632"/>
      <c r="R328" s="633"/>
      <c r="S328" s="634"/>
      <c r="T328" s="635"/>
      <c r="U328" s="636"/>
      <c r="V328" s="637"/>
      <c r="W328" s="637"/>
    </row>
    <row r="329">
      <c r="A329" s="625"/>
      <c r="B329" s="626"/>
      <c r="C329" s="627"/>
      <c r="D329" s="628"/>
      <c r="E329" s="629"/>
      <c r="F329" s="629"/>
      <c r="G329" s="629"/>
      <c r="H329" s="629"/>
      <c r="I329" s="630"/>
      <c r="J329" s="631"/>
      <c r="K329" s="632"/>
      <c r="L329" s="632"/>
      <c r="M329" s="633"/>
      <c r="N329" s="625"/>
      <c r="O329" s="634"/>
      <c r="P329" s="632"/>
      <c r="Q329" s="632"/>
      <c r="R329" s="633"/>
      <c r="S329" s="634"/>
      <c r="T329" s="635"/>
      <c r="U329" s="636"/>
      <c r="V329" s="637"/>
      <c r="W329" s="637"/>
    </row>
    <row r="330">
      <c r="A330" s="625"/>
      <c r="B330" s="626"/>
      <c r="C330" s="627"/>
      <c r="D330" s="628"/>
      <c r="E330" s="629"/>
      <c r="F330" s="629"/>
      <c r="G330" s="629"/>
      <c r="H330" s="629"/>
      <c r="I330" s="630"/>
      <c r="J330" s="631"/>
      <c r="K330" s="632"/>
      <c r="L330" s="632"/>
      <c r="M330" s="633"/>
      <c r="N330" s="625"/>
      <c r="O330" s="634"/>
      <c r="P330" s="632"/>
      <c r="Q330" s="632"/>
      <c r="R330" s="633"/>
      <c r="S330" s="634"/>
      <c r="T330" s="635"/>
      <c r="U330" s="636"/>
      <c r="V330" s="637"/>
      <c r="W330" s="637"/>
    </row>
    <row r="331">
      <c r="A331" s="625"/>
      <c r="B331" s="626"/>
      <c r="C331" s="627"/>
      <c r="D331" s="628"/>
      <c r="E331" s="629"/>
      <c r="F331" s="629"/>
      <c r="G331" s="629"/>
      <c r="H331" s="629"/>
      <c r="I331" s="630"/>
      <c r="J331" s="631"/>
      <c r="K331" s="632"/>
      <c r="L331" s="632"/>
      <c r="M331" s="633"/>
      <c r="N331" s="625"/>
      <c r="O331" s="634"/>
      <c r="P331" s="632"/>
      <c r="Q331" s="632"/>
      <c r="R331" s="633"/>
      <c r="S331" s="634"/>
      <c r="T331" s="635"/>
      <c r="U331" s="636"/>
      <c r="V331" s="637"/>
      <c r="W331" s="637"/>
    </row>
    <row r="332">
      <c r="A332" s="625"/>
      <c r="B332" s="626"/>
      <c r="C332" s="627"/>
      <c r="D332" s="628"/>
      <c r="E332" s="629"/>
      <c r="F332" s="629"/>
      <c r="G332" s="629"/>
      <c r="H332" s="629"/>
      <c r="I332" s="630"/>
      <c r="J332" s="631"/>
      <c r="K332" s="632"/>
      <c r="L332" s="632"/>
      <c r="M332" s="633"/>
      <c r="N332" s="625"/>
      <c r="O332" s="634"/>
      <c r="P332" s="632"/>
      <c r="Q332" s="632"/>
      <c r="R332" s="633"/>
      <c r="S332" s="634"/>
      <c r="T332" s="635"/>
      <c r="U332" s="636"/>
      <c r="V332" s="637"/>
      <c r="W332" s="637"/>
    </row>
    <row r="333">
      <c r="A333" s="625"/>
      <c r="B333" s="626"/>
      <c r="C333" s="627"/>
      <c r="D333" s="628"/>
      <c r="E333" s="629"/>
      <c r="F333" s="629"/>
      <c r="G333" s="629"/>
      <c r="H333" s="629"/>
      <c r="I333" s="630"/>
      <c r="J333" s="631"/>
      <c r="K333" s="632"/>
      <c r="L333" s="632"/>
      <c r="M333" s="633"/>
      <c r="N333" s="625"/>
      <c r="O333" s="634"/>
      <c r="P333" s="632"/>
      <c r="Q333" s="632"/>
      <c r="R333" s="633"/>
      <c r="S333" s="634"/>
      <c r="T333" s="635"/>
      <c r="U333" s="636"/>
      <c r="V333" s="637"/>
      <c r="W333" s="637"/>
    </row>
    <row r="334">
      <c r="A334" s="625"/>
      <c r="B334" s="626"/>
      <c r="C334" s="627"/>
      <c r="D334" s="628"/>
      <c r="E334" s="629"/>
      <c r="F334" s="629"/>
      <c r="G334" s="629"/>
      <c r="H334" s="629"/>
      <c r="I334" s="630"/>
      <c r="J334" s="631"/>
      <c r="K334" s="632"/>
      <c r="L334" s="632"/>
      <c r="M334" s="633"/>
      <c r="N334" s="625"/>
      <c r="O334" s="634"/>
      <c r="P334" s="632"/>
      <c r="Q334" s="632"/>
      <c r="R334" s="633"/>
      <c r="S334" s="634"/>
      <c r="T334" s="635"/>
      <c r="U334" s="636"/>
      <c r="V334" s="637"/>
      <c r="W334" s="637"/>
    </row>
    <row r="335">
      <c r="A335" s="625"/>
      <c r="B335" s="626"/>
      <c r="C335" s="627"/>
      <c r="D335" s="628"/>
      <c r="E335" s="629"/>
      <c r="F335" s="629"/>
      <c r="G335" s="629"/>
      <c r="H335" s="629"/>
      <c r="I335" s="630"/>
      <c r="J335" s="631"/>
      <c r="K335" s="632"/>
      <c r="L335" s="632"/>
      <c r="M335" s="633"/>
      <c r="N335" s="625"/>
      <c r="O335" s="634"/>
      <c r="P335" s="632"/>
      <c r="Q335" s="632"/>
      <c r="R335" s="633"/>
      <c r="S335" s="634"/>
      <c r="T335" s="635"/>
      <c r="U335" s="636"/>
      <c r="V335" s="637"/>
      <c r="W335" s="637"/>
    </row>
    <row r="336">
      <c r="A336" s="625"/>
      <c r="B336" s="626"/>
      <c r="C336" s="627"/>
      <c r="D336" s="628"/>
      <c r="E336" s="629"/>
      <c r="F336" s="629"/>
      <c r="G336" s="629"/>
      <c r="H336" s="629"/>
      <c r="I336" s="630"/>
      <c r="J336" s="631"/>
      <c r="K336" s="632"/>
      <c r="L336" s="632"/>
      <c r="M336" s="633"/>
      <c r="N336" s="625"/>
      <c r="O336" s="634"/>
      <c r="P336" s="632"/>
      <c r="Q336" s="632"/>
      <c r="R336" s="633"/>
      <c r="S336" s="634"/>
      <c r="T336" s="635"/>
      <c r="U336" s="636"/>
      <c r="V336" s="637"/>
      <c r="W336" s="637"/>
    </row>
    <row r="337">
      <c r="A337" s="625"/>
      <c r="B337" s="626"/>
      <c r="C337" s="627"/>
      <c r="D337" s="628"/>
      <c r="E337" s="629"/>
      <c r="F337" s="629"/>
      <c r="G337" s="629"/>
      <c r="H337" s="629"/>
      <c r="I337" s="630"/>
      <c r="J337" s="631"/>
      <c r="K337" s="632"/>
      <c r="L337" s="632"/>
      <c r="M337" s="633"/>
      <c r="N337" s="625"/>
      <c r="O337" s="634"/>
      <c r="P337" s="632"/>
      <c r="Q337" s="632"/>
      <c r="R337" s="633"/>
      <c r="S337" s="634"/>
      <c r="T337" s="635"/>
      <c r="U337" s="636"/>
      <c r="V337" s="637"/>
      <c r="W337" s="637"/>
    </row>
    <row r="338">
      <c r="A338" s="625"/>
      <c r="B338" s="626"/>
      <c r="C338" s="627"/>
      <c r="D338" s="628"/>
      <c r="E338" s="629"/>
      <c r="F338" s="629"/>
      <c r="G338" s="629"/>
      <c r="H338" s="629"/>
      <c r="I338" s="630"/>
      <c r="J338" s="631"/>
      <c r="K338" s="632"/>
      <c r="L338" s="632"/>
      <c r="M338" s="633"/>
      <c r="N338" s="625"/>
      <c r="O338" s="634"/>
      <c r="P338" s="632"/>
      <c r="Q338" s="632"/>
      <c r="R338" s="633"/>
      <c r="S338" s="634"/>
      <c r="T338" s="635"/>
      <c r="U338" s="636"/>
      <c r="V338" s="637"/>
      <c r="W338" s="637"/>
    </row>
    <row r="339">
      <c r="A339" s="625"/>
      <c r="B339" s="626"/>
      <c r="C339" s="627"/>
      <c r="D339" s="628"/>
      <c r="E339" s="629"/>
      <c r="F339" s="629"/>
      <c r="G339" s="629"/>
      <c r="H339" s="629"/>
      <c r="I339" s="630"/>
      <c r="J339" s="631"/>
      <c r="K339" s="632"/>
      <c r="L339" s="632"/>
      <c r="M339" s="633"/>
      <c r="N339" s="625"/>
      <c r="O339" s="634"/>
      <c r="P339" s="632"/>
      <c r="Q339" s="632"/>
      <c r="R339" s="633"/>
      <c r="S339" s="634"/>
      <c r="T339" s="635"/>
      <c r="U339" s="636"/>
      <c r="V339" s="637"/>
      <c r="W339" s="637"/>
    </row>
    <row r="340">
      <c r="A340" s="625"/>
      <c r="B340" s="626"/>
      <c r="C340" s="627"/>
      <c r="D340" s="628"/>
      <c r="E340" s="629"/>
      <c r="F340" s="629"/>
      <c r="G340" s="629"/>
      <c r="H340" s="629"/>
      <c r="I340" s="630"/>
      <c r="J340" s="631"/>
      <c r="K340" s="632"/>
      <c r="L340" s="632"/>
      <c r="M340" s="633"/>
      <c r="N340" s="625"/>
      <c r="O340" s="634"/>
      <c r="P340" s="632"/>
      <c r="Q340" s="632"/>
      <c r="R340" s="633"/>
      <c r="S340" s="634"/>
      <c r="T340" s="635"/>
      <c r="U340" s="636"/>
      <c r="V340" s="637"/>
      <c r="W340" s="637"/>
    </row>
    <row r="341">
      <c r="A341" s="625"/>
      <c r="B341" s="626"/>
      <c r="C341" s="627"/>
      <c r="D341" s="628"/>
      <c r="E341" s="629"/>
      <c r="F341" s="629"/>
      <c r="G341" s="629"/>
      <c r="H341" s="629"/>
      <c r="I341" s="630"/>
      <c r="J341" s="631"/>
      <c r="K341" s="632"/>
      <c r="L341" s="632"/>
      <c r="M341" s="633"/>
      <c r="N341" s="625"/>
      <c r="O341" s="634"/>
      <c r="P341" s="632"/>
      <c r="Q341" s="632"/>
      <c r="R341" s="633"/>
      <c r="S341" s="634"/>
      <c r="T341" s="635"/>
      <c r="U341" s="636"/>
      <c r="V341" s="637"/>
      <c r="W341" s="637"/>
    </row>
    <row r="342">
      <c r="A342" s="625"/>
      <c r="B342" s="626"/>
      <c r="C342" s="627"/>
      <c r="D342" s="628"/>
      <c r="E342" s="629"/>
      <c r="F342" s="629"/>
      <c r="G342" s="629"/>
      <c r="H342" s="629"/>
      <c r="I342" s="630"/>
      <c r="J342" s="631"/>
      <c r="K342" s="632"/>
      <c r="L342" s="632"/>
      <c r="M342" s="633"/>
      <c r="N342" s="625"/>
      <c r="O342" s="634"/>
      <c r="P342" s="632"/>
      <c r="Q342" s="632"/>
      <c r="R342" s="633"/>
      <c r="S342" s="634"/>
      <c r="T342" s="635"/>
      <c r="U342" s="636"/>
      <c r="V342" s="637"/>
      <c r="W342" s="637"/>
    </row>
    <row r="343">
      <c r="A343" s="625"/>
      <c r="B343" s="626"/>
      <c r="C343" s="627"/>
      <c r="D343" s="628"/>
      <c r="E343" s="629"/>
      <c r="F343" s="629"/>
      <c r="G343" s="629"/>
      <c r="H343" s="629"/>
      <c r="I343" s="630"/>
      <c r="J343" s="631"/>
      <c r="K343" s="632"/>
      <c r="L343" s="632"/>
      <c r="M343" s="633"/>
      <c r="N343" s="625"/>
      <c r="O343" s="634"/>
      <c r="P343" s="632"/>
      <c r="Q343" s="632"/>
      <c r="R343" s="633"/>
      <c r="S343" s="634"/>
      <c r="T343" s="635"/>
      <c r="U343" s="636"/>
      <c r="V343" s="637"/>
      <c r="W343" s="637"/>
    </row>
    <row r="344">
      <c r="A344" s="625"/>
      <c r="B344" s="626"/>
      <c r="C344" s="627"/>
      <c r="D344" s="628"/>
      <c r="E344" s="629"/>
      <c r="F344" s="629"/>
      <c r="G344" s="629"/>
      <c r="H344" s="629"/>
      <c r="I344" s="630"/>
      <c r="J344" s="631"/>
      <c r="K344" s="632"/>
      <c r="L344" s="632"/>
      <c r="M344" s="633"/>
      <c r="N344" s="625"/>
      <c r="O344" s="634"/>
      <c r="P344" s="632"/>
      <c r="Q344" s="632"/>
      <c r="R344" s="633"/>
      <c r="S344" s="634"/>
      <c r="T344" s="635"/>
      <c r="U344" s="636"/>
      <c r="V344" s="637"/>
      <c r="W344" s="637"/>
    </row>
    <row r="345">
      <c r="A345" s="625"/>
      <c r="B345" s="626"/>
      <c r="C345" s="627"/>
      <c r="D345" s="628"/>
      <c r="E345" s="629"/>
      <c r="F345" s="629"/>
      <c r="G345" s="629"/>
      <c r="H345" s="629"/>
      <c r="I345" s="630"/>
      <c r="J345" s="631"/>
      <c r="K345" s="632"/>
      <c r="L345" s="632"/>
      <c r="M345" s="633"/>
      <c r="N345" s="625"/>
      <c r="O345" s="634"/>
      <c r="P345" s="632"/>
      <c r="Q345" s="632"/>
      <c r="R345" s="633"/>
      <c r="S345" s="634"/>
      <c r="T345" s="635"/>
      <c r="U345" s="636"/>
      <c r="V345" s="637"/>
      <c r="W345" s="637"/>
    </row>
    <row r="346">
      <c r="A346" s="625"/>
      <c r="B346" s="626"/>
      <c r="C346" s="627"/>
      <c r="D346" s="628"/>
      <c r="E346" s="629"/>
      <c r="F346" s="629"/>
      <c r="G346" s="629"/>
      <c r="H346" s="629"/>
      <c r="I346" s="630"/>
      <c r="J346" s="631"/>
      <c r="K346" s="632"/>
      <c r="L346" s="632"/>
      <c r="M346" s="633"/>
      <c r="N346" s="625"/>
      <c r="O346" s="634"/>
      <c r="P346" s="632"/>
      <c r="Q346" s="632"/>
      <c r="R346" s="633"/>
      <c r="S346" s="634"/>
      <c r="T346" s="635"/>
      <c r="U346" s="636"/>
      <c r="V346" s="637"/>
      <c r="W346" s="637"/>
    </row>
    <row r="347">
      <c r="A347" s="625"/>
      <c r="B347" s="626"/>
      <c r="C347" s="627"/>
      <c r="D347" s="628"/>
      <c r="E347" s="629"/>
      <c r="F347" s="629"/>
      <c r="G347" s="629"/>
      <c r="H347" s="629"/>
      <c r="I347" s="630"/>
      <c r="J347" s="631"/>
      <c r="K347" s="632"/>
      <c r="L347" s="632"/>
      <c r="M347" s="633"/>
      <c r="N347" s="625"/>
      <c r="O347" s="634"/>
      <c r="P347" s="632"/>
      <c r="Q347" s="632"/>
      <c r="R347" s="633"/>
      <c r="S347" s="634"/>
      <c r="T347" s="635"/>
      <c r="U347" s="636"/>
      <c r="V347" s="637"/>
      <c r="W347" s="637"/>
    </row>
    <row r="348">
      <c r="A348" s="625"/>
      <c r="B348" s="626"/>
      <c r="C348" s="627"/>
      <c r="D348" s="628"/>
      <c r="E348" s="629"/>
      <c r="F348" s="629"/>
      <c r="G348" s="629"/>
      <c r="H348" s="629"/>
      <c r="I348" s="630"/>
      <c r="J348" s="631"/>
      <c r="K348" s="632"/>
      <c r="L348" s="632"/>
      <c r="M348" s="633"/>
      <c r="N348" s="625"/>
      <c r="O348" s="634"/>
      <c r="P348" s="632"/>
      <c r="Q348" s="632"/>
      <c r="R348" s="633"/>
      <c r="S348" s="634"/>
      <c r="T348" s="635"/>
      <c r="U348" s="636"/>
      <c r="V348" s="637"/>
      <c r="W348" s="637"/>
    </row>
    <row r="349">
      <c r="A349" s="625"/>
      <c r="B349" s="626"/>
      <c r="C349" s="627"/>
      <c r="D349" s="628"/>
      <c r="E349" s="629"/>
      <c r="F349" s="629"/>
      <c r="G349" s="629"/>
      <c r="H349" s="629"/>
      <c r="I349" s="630"/>
      <c r="J349" s="631"/>
      <c r="K349" s="632"/>
      <c r="L349" s="632"/>
      <c r="M349" s="633"/>
      <c r="N349" s="625"/>
      <c r="O349" s="634"/>
      <c r="P349" s="632"/>
      <c r="Q349" s="632"/>
      <c r="R349" s="633"/>
      <c r="S349" s="634"/>
      <c r="T349" s="635"/>
      <c r="U349" s="636"/>
      <c r="V349" s="637"/>
      <c r="W349" s="637"/>
    </row>
    <row r="350">
      <c r="A350" s="625"/>
      <c r="B350" s="626"/>
      <c r="C350" s="627"/>
      <c r="D350" s="628"/>
      <c r="E350" s="629"/>
      <c r="F350" s="629"/>
      <c r="G350" s="629"/>
      <c r="H350" s="629"/>
      <c r="I350" s="630"/>
      <c r="J350" s="631"/>
      <c r="K350" s="632"/>
      <c r="L350" s="632"/>
      <c r="M350" s="633"/>
      <c r="N350" s="625"/>
      <c r="O350" s="634"/>
      <c r="P350" s="632"/>
      <c r="Q350" s="632"/>
      <c r="R350" s="633"/>
      <c r="S350" s="634"/>
      <c r="T350" s="635"/>
      <c r="U350" s="636"/>
      <c r="V350" s="637"/>
      <c r="W350" s="637"/>
    </row>
    <row r="351">
      <c r="A351" s="625"/>
      <c r="B351" s="626"/>
      <c r="C351" s="627"/>
      <c r="D351" s="628"/>
      <c r="E351" s="629"/>
      <c r="F351" s="629"/>
      <c r="G351" s="629"/>
      <c r="H351" s="629"/>
      <c r="I351" s="630"/>
      <c r="J351" s="631"/>
      <c r="K351" s="632"/>
      <c r="L351" s="632"/>
      <c r="M351" s="633"/>
      <c r="N351" s="625"/>
      <c r="O351" s="634"/>
      <c r="P351" s="632"/>
      <c r="Q351" s="632"/>
      <c r="R351" s="633"/>
      <c r="S351" s="634"/>
      <c r="T351" s="635"/>
      <c r="U351" s="636"/>
      <c r="V351" s="637"/>
      <c r="W351" s="637"/>
    </row>
    <row r="352">
      <c r="A352" s="625"/>
      <c r="B352" s="626"/>
      <c r="C352" s="627"/>
      <c r="D352" s="628"/>
      <c r="E352" s="629"/>
      <c r="F352" s="629"/>
      <c r="G352" s="629"/>
      <c r="H352" s="629"/>
      <c r="I352" s="630"/>
      <c r="J352" s="631"/>
      <c r="K352" s="632"/>
      <c r="L352" s="632"/>
      <c r="M352" s="633"/>
      <c r="N352" s="625"/>
      <c r="O352" s="634"/>
      <c r="P352" s="632"/>
      <c r="Q352" s="632"/>
      <c r="R352" s="633"/>
      <c r="S352" s="634"/>
      <c r="T352" s="635"/>
      <c r="U352" s="636"/>
      <c r="V352" s="637"/>
      <c r="W352" s="637"/>
    </row>
    <row r="353">
      <c r="A353" s="625"/>
      <c r="B353" s="626"/>
      <c r="C353" s="627"/>
      <c r="D353" s="628"/>
      <c r="E353" s="629"/>
      <c r="F353" s="629"/>
      <c r="G353" s="629"/>
      <c r="H353" s="629"/>
      <c r="I353" s="630"/>
      <c r="J353" s="631"/>
      <c r="K353" s="632"/>
      <c r="L353" s="632"/>
      <c r="M353" s="633"/>
      <c r="N353" s="625"/>
      <c r="O353" s="634"/>
      <c r="P353" s="632"/>
      <c r="Q353" s="632"/>
      <c r="R353" s="633"/>
      <c r="S353" s="634"/>
      <c r="T353" s="635"/>
      <c r="U353" s="636"/>
      <c r="V353" s="637"/>
      <c r="W353" s="637"/>
    </row>
    <row r="354">
      <c r="A354" s="625"/>
      <c r="B354" s="626"/>
      <c r="C354" s="627"/>
      <c r="D354" s="628"/>
      <c r="E354" s="629"/>
      <c r="F354" s="629"/>
      <c r="G354" s="629"/>
      <c r="H354" s="629"/>
      <c r="I354" s="630"/>
      <c r="J354" s="631"/>
      <c r="K354" s="632"/>
      <c r="L354" s="632"/>
      <c r="M354" s="633"/>
      <c r="N354" s="625"/>
      <c r="O354" s="634"/>
      <c r="P354" s="632"/>
      <c r="Q354" s="632"/>
      <c r="R354" s="633"/>
      <c r="S354" s="634"/>
      <c r="T354" s="635"/>
      <c r="U354" s="636"/>
      <c r="V354" s="637"/>
      <c r="W354" s="637"/>
    </row>
    <row r="355">
      <c r="A355" s="625"/>
      <c r="B355" s="626"/>
      <c r="C355" s="627"/>
      <c r="D355" s="628"/>
      <c r="E355" s="629"/>
      <c r="F355" s="629"/>
      <c r="G355" s="629"/>
      <c r="H355" s="629"/>
      <c r="I355" s="630"/>
      <c r="J355" s="631"/>
      <c r="K355" s="632"/>
      <c r="L355" s="632"/>
      <c r="M355" s="633"/>
      <c r="N355" s="625"/>
      <c r="O355" s="634"/>
      <c r="P355" s="632"/>
      <c r="Q355" s="632"/>
      <c r="R355" s="633"/>
      <c r="S355" s="634"/>
      <c r="T355" s="635"/>
      <c r="U355" s="636"/>
      <c r="V355" s="637"/>
      <c r="W355" s="637"/>
    </row>
    <row r="356">
      <c r="A356" s="625"/>
      <c r="B356" s="626"/>
      <c r="C356" s="627"/>
      <c r="D356" s="628"/>
      <c r="E356" s="629"/>
      <c r="F356" s="629"/>
      <c r="G356" s="629"/>
      <c r="H356" s="629"/>
      <c r="I356" s="630"/>
      <c r="J356" s="631"/>
      <c r="K356" s="632"/>
      <c r="L356" s="632"/>
      <c r="M356" s="633"/>
      <c r="N356" s="625"/>
      <c r="O356" s="634"/>
      <c r="P356" s="632"/>
      <c r="Q356" s="632"/>
      <c r="R356" s="633"/>
      <c r="S356" s="634"/>
      <c r="T356" s="635"/>
      <c r="U356" s="636"/>
      <c r="V356" s="637"/>
      <c r="W356" s="637"/>
    </row>
    <row r="357">
      <c r="A357" s="625"/>
      <c r="B357" s="626"/>
      <c r="C357" s="627"/>
      <c r="D357" s="628"/>
      <c r="E357" s="629"/>
      <c r="F357" s="629"/>
      <c r="G357" s="629"/>
      <c r="H357" s="629"/>
      <c r="I357" s="630"/>
      <c r="J357" s="631"/>
      <c r="K357" s="632"/>
      <c r="L357" s="632"/>
      <c r="M357" s="633"/>
      <c r="N357" s="625"/>
      <c r="O357" s="634"/>
      <c r="P357" s="632"/>
      <c r="Q357" s="632"/>
      <c r="R357" s="633"/>
      <c r="S357" s="634"/>
      <c r="T357" s="635"/>
      <c r="U357" s="636"/>
      <c r="V357" s="637"/>
      <c r="W357" s="637"/>
    </row>
    <row r="358">
      <c r="A358" s="625"/>
      <c r="B358" s="626"/>
      <c r="C358" s="627"/>
      <c r="D358" s="628"/>
      <c r="E358" s="629"/>
      <c r="F358" s="629"/>
      <c r="G358" s="629"/>
      <c r="H358" s="629"/>
      <c r="I358" s="630"/>
      <c r="J358" s="631"/>
      <c r="K358" s="632"/>
      <c r="L358" s="632"/>
      <c r="M358" s="633"/>
      <c r="N358" s="625"/>
      <c r="O358" s="634"/>
      <c r="P358" s="632"/>
      <c r="Q358" s="632"/>
      <c r="R358" s="633"/>
      <c r="S358" s="634"/>
      <c r="T358" s="635"/>
      <c r="U358" s="636"/>
      <c r="V358" s="637"/>
      <c r="W358" s="637"/>
    </row>
    <row r="359">
      <c r="A359" s="625"/>
      <c r="B359" s="626"/>
      <c r="C359" s="627"/>
      <c r="D359" s="628"/>
      <c r="E359" s="629"/>
      <c r="F359" s="629"/>
      <c r="G359" s="629"/>
      <c r="H359" s="629"/>
      <c r="I359" s="630"/>
      <c r="J359" s="631"/>
      <c r="K359" s="632"/>
      <c r="L359" s="632"/>
      <c r="M359" s="633"/>
      <c r="N359" s="625"/>
      <c r="O359" s="634"/>
      <c r="P359" s="632"/>
      <c r="Q359" s="632"/>
      <c r="R359" s="633"/>
      <c r="S359" s="634"/>
      <c r="T359" s="635"/>
      <c r="U359" s="636"/>
      <c r="V359" s="637"/>
      <c r="W359" s="637"/>
    </row>
    <row r="360">
      <c r="A360" s="625"/>
      <c r="B360" s="626"/>
      <c r="C360" s="627"/>
      <c r="D360" s="628"/>
      <c r="E360" s="629"/>
      <c r="F360" s="629"/>
      <c r="G360" s="629"/>
      <c r="H360" s="629"/>
      <c r="I360" s="630"/>
      <c r="J360" s="631"/>
      <c r="K360" s="632"/>
      <c r="L360" s="632"/>
      <c r="M360" s="633"/>
      <c r="N360" s="625"/>
      <c r="O360" s="634"/>
      <c r="P360" s="632"/>
      <c r="Q360" s="632"/>
      <c r="R360" s="633"/>
      <c r="S360" s="634"/>
      <c r="T360" s="635"/>
      <c r="U360" s="636"/>
      <c r="V360" s="637"/>
      <c r="W360" s="637"/>
    </row>
    <row r="361">
      <c r="A361" s="625"/>
      <c r="B361" s="626"/>
      <c r="C361" s="627"/>
      <c r="D361" s="628"/>
      <c r="E361" s="629"/>
      <c r="F361" s="629"/>
      <c r="G361" s="629"/>
      <c r="H361" s="629"/>
      <c r="I361" s="630"/>
      <c r="J361" s="631"/>
      <c r="K361" s="632"/>
      <c r="L361" s="632"/>
      <c r="M361" s="633"/>
      <c r="N361" s="625"/>
      <c r="O361" s="634"/>
      <c r="P361" s="632"/>
      <c r="Q361" s="632"/>
      <c r="R361" s="633"/>
      <c r="S361" s="634"/>
      <c r="T361" s="635"/>
      <c r="U361" s="636"/>
      <c r="V361" s="637"/>
      <c r="W361" s="637"/>
    </row>
    <row r="362">
      <c r="A362" s="625"/>
      <c r="B362" s="626"/>
      <c r="C362" s="627"/>
      <c r="D362" s="628"/>
      <c r="E362" s="629"/>
      <c r="F362" s="629"/>
      <c r="G362" s="629"/>
      <c r="H362" s="629"/>
      <c r="I362" s="630"/>
      <c r="J362" s="631"/>
      <c r="K362" s="632"/>
      <c r="L362" s="632"/>
      <c r="M362" s="633"/>
      <c r="N362" s="625"/>
      <c r="O362" s="634"/>
      <c r="P362" s="632"/>
      <c r="Q362" s="632"/>
      <c r="R362" s="633"/>
      <c r="S362" s="634"/>
      <c r="T362" s="635"/>
      <c r="U362" s="636"/>
      <c r="V362" s="637"/>
      <c r="W362" s="637"/>
    </row>
    <row r="363">
      <c r="A363" s="625"/>
      <c r="B363" s="626"/>
      <c r="C363" s="627"/>
      <c r="D363" s="628"/>
      <c r="E363" s="629"/>
      <c r="F363" s="629"/>
      <c r="G363" s="629"/>
      <c r="H363" s="629"/>
      <c r="I363" s="630"/>
      <c r="J363" s="631"/>
      <c r="K363" s="632"/>
      <c r="L363" s="632"/>
      <c r="M363" s="633"/>
      <c r="N363" s="625"/>
      <c r="O363" s="634"/>
      <c r="P363" s="632"/>
      <c r="Q363" s="632"/>
      <c r="R363" s="633"/>
      <c r="S363" s="634"/>
      <c r="T363" s="635"/>
      <c r="U363" s="636"/>
      <c r="V363" s="637"/>
      <c r="W363" s="637"/>
    </row>
    <row r="364">
      <c r="A364" s="625"/>
      <c r="B364" s="626"/>
      <c r="C364" s="627"/>
      <c r="D364" s="628"/>
      <c r="E364" s="629"/>
      <c r="F364" s="629"/>
      <c r="G364" s="629"/>
      <c r="H364" s="629"/>
      <c r="I364" s="630"/>
      <c r="J364" s="631"/>
      <c r="K364" s="632"/>
      <c r="L364" s="632"/>
      <c r="M364" s="633"/>
      <c r="N364" s="625"/>
      <c r="O364" s="634"/>
      <c r="P364" s="632"/>
      <c r="Q364" s="632"/>
      <c r="R364" s="633"/>
      <c r="S364" s="634"/>
      <c r="T364" s="635"/>
      <c r="U364" s="636"/>
      <c r="V364" s="637"/>
      <c r="W364" s="637"/>
    </row>
    <row r="365">
      <c r="A365" s="625"/>
      <c r="B365" s="626"/>
      <c r="C365" s="627"/>
      <c r="D365" s="628"/>
      <c r="E365" s="629"/>
      <c r="F365" s="629"/>
      <c r="G365" s="629"/>
      <c r="H365" s="629"/>
      <c r="I365" s="630"/>
      <c r="J365" s="631"/>
      <c r="K365" s="632"/>
      <c r="L365" s="632"/>
      <c r="M365" s="633"/>
      <c r="N365" s="625"/>
      <c r="O365" s="634"/>
      <c r="P365" s="632"/>
      <c r="Q365" s="632"/>
      <c r="R365" s="633"/>
      <c r="S365" s="634"/>
      <c r="T365" s="635"/>
      <c r="U365" s="636"/>
      <c r="V365" s="637"/>
      <c r="W365" s="637"/>
    </row>
    <row r="366">
      <c r="A366" s="625"/>
      <c r="B366" s="626"/>
      <c r="C366" s="627"/>
      <c r="D366" s="628"/>
      <c r="E366" s="629"/>
      <c r="F366" s="629"/>
      <c r="G366" s="629"/>
      <c r="H366" s="629"/>
      <c r="I366" s="630"/>
      <c r="J366" s="631"/>
      <c r="K366" s="632"/>
      <c r="L366" s="632"/>
      <c r="M366" s="633"/>
      <c r="N366" s="625"/>
      <c r="O366" s="634"/>
      <c r="P366" s="632"/>
      <c r="Q366" s="632"/>
      <c r="R366" s="633"/>
      <c r="S366" s="634"/>
      <c r="T366" s="635"/>
      <c r="U366" s="636"/>
      <c r="V366" s="637"/>
      <c r="W366" s="637"/>
    </row>
    <row r="367">
      <c r="A367" s="625"/>
      <c r="B367" s="626"/>
      <c r="C367" s="627"/>
      <c r="D367" s="628"/>
      <c r="E367" s="629"/>
      <c r="F367" s="629"/>
      <c r="G367" s="629"/>
      <c r="H367" s="629"/>
      <c r="I367" s="630"/>
      <c r="J367" s="631"/>
      <c r="K367" s="632"/>
      <c r="L367" s="632"/>
      <c r="M367" s="633"/>
      <c r="N367" s="625"/>
      <c r="O367" s="634"/>
      <c r="P367" s="632"/>
      <c r="Q367" s="632"/>
      <c r="R367" s="633"/>
      <c r="S367" s="634"/>
      <c r="T367" s="635"/>
      <c r="U367" s="636"/>
      <c r="V367" s="637"/>
      <c r="W367" s="637"/>
    </row>
    <row r="368">
      <c r="A368" s="625"/>
      <c r="B368" s="626"/>
      <c r="C368" s="627"/>
      <c r="D368" s="628"/>
      <c r="E368" s="629"/>
      <c r="F368" s="629"/>
      <c r="G368" s="629"/>
      <c r="H368" s="629"/>
      <c r="I368" s="630"/>
      <c r="J368" s="631"/>
      <c r="K368" s="632"/>
      <c r="L368" s="632"/>
      <c r="M368" s="633"/>
      <c r="N368" s="625"/>
      <c r="O368" s="634"/>
      <c r="P368" s="632"/>
      <c r="Q368" s="632"/>
      <c r="R368" s="633"/>
      <c r="S368" s="634"/>
      <c r="T368" s="635"/>
      <c r="U368" s="636"/>
      <c r="V368" s="637"/>
      <c r="W368" s="637"/>
    </row>
    <row r="369">
      <c r="A369" s="625"/>
      <c r="B369" s="626"/>
      <c r="C369" s="627"/>
      <c r="D369" s="628"/>
      <c r="E369" s="629"/>
      <c r="F369" s="629"/>
      <c r="G369" s="629"/>
      <c r="H369" s="629"/>
      <c r="I369" s="630"/>
      <c r="J369" s="631"/>
      <c r="K369" s="632"/>
      <c r="L369" s="632"/>
      <c r="M369" s="633"/>
      <c r="N369" s="625"/>
      <c r="O369" s="634"/>
      <c r="P369" s="632"/>
      <c r="Q369" s="632"/>
      <c r="R369" s="633"/>
      <c r="S369" s="634"/>
      <c r="T369" s="635"/>
      <c r="U369" s="636"/>
      <c r="V369" s="637"/>
      <c r="W369" s="637"/>
    </row>
    <row r="370">
      <c r="A370" s="625"/>
      <c r="B370" s="626"/>
      <c r="C370" s="627"/>
      <c r="D370" s="628"/>
      <c r="E370" s="629"/>
      <c r="F370" s="629"/>
      <c r="G370" s="629"/>
      <c r="H370" s="629"/>
      <c r="I370" s="630"/>
      <c r="J370" s="631"/>
      <c r="K370" s="632"/>
      <c r="L370" s="632"/>
      <c r="M370" s="633"/>
      <c r="N370" s="625"/>
      <c r="O370" s="634"/>
      <c r="P370" s="632"/>
      <c r="Q370" s="632"/>
      <c r="R370" s="633"/>
      <c r="S370" s="634"/>
      <c r="T370" s="635"/>
      <c r="U370" s="636"/>
      <c r="V370" s="637"/>
      <c r="W370" s="637"/>
    </row>
    <row r="371">
      <c r="A371" s="625"/>
      <c r="B371" s="626"/>
      <c r="C371" s="627"/>
      <c r="D371" s="628"/>
      <c r="E371" s="629"/>
      <c r="F371" s="629"/>
      <c r="G371" s="629"/>
      <c r="H371" s="629"/>
      <c r="I371" s="630"/>
      <c r="J371" s="631"/>
      <c r="K371" s="632"/>
      <c r="L371" s="632"/>
      <c r="M371" s="633"/>
      <c r="N371" s="625"/>
      <c r="O371" s="634"/>
      <c r="P371" s="632"/>
      <c r="Q371" s="632"/>
      <c r="R371" s="633"/>
      <c r="S371" s="634"/>
      <c r="T371" s="635"/>
      <c r="U371" s="636"/>
      <c r="V371" s="637"/>
      <c r="W371" s="637"/>
    </row>
    <row r="372">
      <c r="A372" s="625"/>
      <c r="B372" s="626"/>
      <c r="C372" s="627"/>
      <c r="D372" s="628"/>
      <c r="E372" s="629"/>
      <c r="F372" s="629"/>
      <c r="G372" s="629"/>
      <c r="H372" s="629"/>
      <c r="I372" s="630"/>
      <c r="J372" s="631"/>
      <c r="K372" s="632"/>
      <c r="L372" s="632"/>
      <c r="M372" s="633"/>
      <c r="N372" s="625"/>
      <c r="O372" s="634"/>
      <c r="P372" s="632"/>
      <c r="Q372" s="632"/>
      <c r="R372" s="633"/>
      <c r="S372" s="634"/>
      <c r="T372" s="635"/>
      <c r="U372" s="636"/>
      <c r="V372" s="637"/>
      <c r="W372" s="637"/>
    </row>
    <row r="373">
      <c r="A373" s="625"/>
      <c r="B373" s="626"/>
      <c r="C373" s="627"/>
      <c r="D373" s="628"/>
      <c r="E373" s="629"/>
      <c r="F373" s="629"/>
      <c r="G373" s="629"/>
      <c r="H373" s="629"/>
      <c r="I373" s="630"/>
      <c r="J373" s="631"/>
      <c r="K373" s="632"/>
      <c r="L373" s="632"/>
      <c r="M373" s="633"/>
      <c r="N373" s="625"/>
      <c r="O373" s="634"/>
      <c r="P373" s="632"/>
      <c r="Q373" s="632"/>
      <c r="R373" s="633"/>
      <c r="S373" s="634"/>
      <c r="T373" s="635"/>
      <c r="U373" s="636"/>
      <c r="V373" s="637"/>
      <c r="W373" s="637"/>
    </row>
    <row r="374">
      <c r="A374" s="625"/>
      <c r="B374" s="626"/>
      <c r="C374" s="627"/>
      <c r="D374" s="628"/>
      <c r="E374" s="629"/>
      <c r="F374" s="629"/>
      <c r="G374" s="629"/>
      <c r="H374" s="629"/>
      <c r="I374" s="630"/>
      <c r="J374" s="631"/>
      <c r="K374" s="632"/>
      <c r="L374" s="632"/>
      <c r="M374" s="633"/>
      <c r="N374" s="625"/>
      <c r="O374" s="634"/>
      <c r="P374" s="632"/>
      <c r="Q374" s="632"/>
      <c r="R374" s="633"/>
      <c r="S374" s="634"/>
      <c r="T374" s="635"/>
      <c r="U374" s="636"/>
      <c r="V374" s="637"/>
      <c r="W374" s="637"/>
    </row>
    <row r="375">
      <c r="A375" s="625"/>
      <c r="B375" s="626"/>
      <c r="C375" s="627"/>
      <c r="D375" s="628"/>
      <c r="E375" s="629"/>
      <c r="F375" s="629"/>
      <c r="G375" s="629"/>
      <c r="H375" s="629"/>
      <c r="I375" s="630"/>
      <c r="J375" s="631"/>
      <c r="K375" s="632"/>
      <c r="L375" s="632"/>
      <c r="M375" s="633"/>
      <c r="N375" s="625"/>
      <c r="O375" s="634"/>
      <c r="P375" s="632"/>
      <c r="Q375" s="632"/>
      <c r="R375" s="633"/>
      <c r="S375" s="634"/>
      <c r="T375" s="635"/>
      <c r="U375" s="636"/>
      <c r="V375" s="637"/>
      <c r="W375" s="637"/>
    </row>
    <row r="376">
      <c r="A376" s="625"/>
      <c r="B376" s="626"/>
      <c r="C376" s="627"/>
      <c r="D376" s="628"/>
      <c r="E376" s="629"/>
      <c r="F376" s="629"/>
      <c r="G376" s="629"/>
      <c r="H376" s="629"/>
      <c r="I376" s="630"/>
      <c r="J376" s="631"/>
      <c r="K376" s="632"/>
      <c r="L376" s="632"/>
      <c r="M376" s="633"/>
      <c r="N376" s="625"/>
      <c r="O376" s="634"/>
      <c r="P376" s="632"/>
      <c r="Q376" s="632"/>
      <c r="R376" s="633"/>
      <c r="S376" s="634"/>
      <c r="T376" s="635"/>
      <c r="U376" s="636"/>
      <c r="V376" s="637"/>
      <c r="W376" s="637"/>
    </row>
    <row r="377">
      <c r="A377" s="625"/>
      <c r="B377" s="626"/>
      <c r="C377" s="627"/>
      <c r="D377" s="628"/>
      <c r="E377" s="629"/>
      <c r="F377" s="629"/>
      <c r="G377" s="629"/>
      <c r="H377" s="629"/>
      <c r="I377" s="630"/>
      <c r="J377" s="631"/>
      <c r="K377" s="632"/>
      <c r="L377" s="632"/>
      <c r="M377" s="633"/>
      <c r="N377" s="625"/>
      <c r="O377" s="634"/>
      <c r="P377" s="632"/>
      <c r="Q377" s="632"/>
      <c r="R377" s="633"/>
      <c r="S377" s="634"/>
      <c r="T377" s="635"/>
      <c r="U377" s="636"/>
      <c r="V377" s="637"/>
      <c r="W377" s="637"/>
    </row>
    <row r="378">
      <c r="A378" s="625"/>
      <c r="B378" s="626"/>
      <c r="C378" s="627"/>
      <c r="D378" s="628"/>
      <c r="E378" s="629"/>
      <c r="F378" s="629"/>
      <c r="G378" s="629"/>
      <c r="H378" s="629"/>
      <c r="I378" s="630"/>
      <c r="J378" s="631"/>
      <c r="K378" s="632"/>
      <c r="L378" s="632"/>
      <c r="M378" s="633"/>
      <c r="N378" s="625"/>
      <c r="O378" s="634"/>
      <c r="P378" s="632"/>
      <c r="Q378" s="632"/>
      <c r="R378" s="633"/>
      <c r="S378" s="634"/>
      <c r="T378" s="635"/>
      <c r="U378" s="636"/>
      <c r="V378" s="637"/>
      <c r="W378" s="637"/>
    </row>
    <row r="379">
      <c r="A379" s="625"/>
      <c r="B379" s="626"/>
      <c r="C379" s="627"/>
      <c r="D379" s="628"/>
      <c r="E379" s="629"/>
      <c r="F379" s="629"/>
      <c r="G379" s="629"/>
      <c r="H379" s="629"/>
      <c r="I379" s="630"/>
      <c r="J379" s="631"/>
      <c r="K379" s="632"/>
      <c r="L379" s="632"/>
      <c r="M379" s="633"/>
      <c r="N379" s="625"/>
      <c r="O379" s="634"/>
      <c r="P379" s="632"/>
      <c r="Q379" s="632"/>
      <c r="R379" s="633"/>
      <c r="S379" s="634"/>
      <c r="T379" s="635"/>
      <c r="U379" s="636"/>
      <c r="V379" s="637"/>
      <c r="W379" s="637"/>
    </row>
    <row r="380">
      <c r="A380" s="625"/>
      <c r="B380" s="626"/>
      <c r="C380" s="627"/>
      <c r="D380" s="628"/>
      <c r="E380" s="629"/>
      <c r="F380" s="629"/>
      <c r="G380" s="629"/>
      <c r="H380" s="629"/>
      <c r="I380" s="630"/>
      <c r="J380" s="631"/>
      <c r="K380" s="632"/>
      <c r="L380" s="632"/>
      <c r="M380" s="633"/>
      <c r="N380" s="625"/>
      <c r="O380" s="634"/>
      <c r="P380" s="632"/>
      <c r="Q380" s="632"/>
      <c r="R380" s="633"/>
      <c r="S380" s="634"/>
      <c r="T380" s="635"/>
      <c r="U380" s="636"/>
      <c r="V380" s="637"/>
      <c r="W380" s="637"/>
    </row>
    <row r="381">
      <c r="A381" s="625"/>
      <c r="B381" s="626"/>
      <c r="C381" s="627"/>
      <c r="D381" s="628"/>
      <c r="E381" s="629"/>
      <c r="F381" s="629"/>
      <c r="G381" s="629"/>
      <c r="H381" s="629"/>
      <c r="I381" s="630"/>
      <c r="J381" s="631"/>
      <c r="K381" s="632"/>
      <c r="L381" s="632"/>
      <c r="M381" s="633"/>
      <c r="N381" s="625"/>
      <c r="O381" s="634"/>
      <c r="P381" s="632"/>
      <c r="Q381" s="632"/>
      <c r="R381" s="633"/>
      <c r="S381" s="634"/>
      <c r="T381" s="635"/>
      <c r="U381" s="636"/>
      <c r="V381" s="637"/>
      <c r="W381" s="637"/>
    </row>
    <row r="382">
      <c r="A382" s="625"/>
      <c r="B382" s="626"/>
      <c r="C382" s="627"/>
      <c r="D382" s="628"/>
      <c r="E382" s="629"/>
      <c r="F382" s="629"/>
      <c r="G382" s="629"/>
      <c r="H382" s="629"/>
      <c r="I382" s="630"/>
      <c r="J382" s="631"/>
      <c r="K382" s="632"/>
      <c r="L382" s="632"/>
      <c r="M382" s="633"/>
      <c r="N382" s="625"/>
      <c r="O382" s="634"/>
      <c r="P382" s="632"/>
      <c r="Q382" s="632"/>
      <c r="R382" s="633"/>
      <c r="S382" s="634"/>
      <c r="T382" s="635"/>
      <c r="U382" s="636"/>
      <c r="V382" s="637"/>
      <c r="W382" s="637"/>
    </row>
    <row r="383">
      <c r="A383" s="625"/>
      <c r="B383" s="626"/>
      <c r="C383" s="627"/>
      <c r="D383" s="628"/>
      <c r="E383" s="629"/>
      <c r="F383" s="629"/>
      <c r="G383" s="629"/>
      <c r="H383" s="629"/>
      <c r="I383" s="630"/>
      <c r="J383" s="631"/>
      <c r="K383" s="632"/>
      <c r="L383" s="632"/>
      <c r="M383" s="633"/>
      <c r="N383" s="625"/>
      <c r="O383" s="634"/>
      <c r="P383" s="632"/>
      <c r="Q383" s="632"/>
      <c r="R383" s="633"/>
      <c r="S383" s="634"/>
      <c r="T383" s="635"/>
      <c r="U383" s="636"/>
      <c r="V383" s="637"/>
      <c r="W383" s="637"/>
    </row>
    <row r="384">
      <c r="A384" s="625"/>
      <c r="B384" s="626"/>
      <c r="C384" s="627"/>
      <c r="D384" s="628"/>
      <c r="E384" s="629"/>
      <c r="F384" s="629"/>
      <c r="G384" s="629"/>
      <c r="H384" s="629"/>
      <c r="I384" s="630"/>
      <c r="J384" s="631"/>
      <c r="K384" s="632"/>
      <c r="L384" s="632"/>
      <c r="M384" s="633"/>
      <c r="N384" s="625"/>
      <c r="O384" s="634"/>
      <c r="P384" s="632"/>
      <c r="Q384" s="632"/>
      <c r="R384" s="633"/>
      <c r="S384" s="634"/>
      <c r="T384" s="635"/>
      <c r="U384" s="636"/>
      <c r="V384" s="637"/>
      <c r="W384" s="637"/>
    </row>
    <row r="385">
      <c r="A385" s="625"/>
      <c r="B385" s="626"/>
      <c r="C385" s="627"/>
      <c r="D385" s="628"/>
      <c r="E385" s="629"/>
      <c r="F385" s="629"/>
      <c r="G385" s="629"/>
      <c r="H385" s="629"/>
      <c r="I385" s="630"/>
      <c r="J385" s="631"/>
      <c r="K385" s="632"/>
      <c r="L385" s="632"/>
      <c r="M385" s="633"/>
      <c r="N385" s="625"/>
      <c r="O385" s="634"/>
      <c r="P385" s="632"/>
      <c r="Q385" s="632"/>
      <c r="R385" s="633"/>
      <c r="S385" s="634"/>
      <c r="T385" s="635"/>
      <c r="U385" s="636"/>
      <c r="V385" s="637"/>
      <c r="W385" s="637"/>
    </row>
    <row r="386">
      <c r="A386" s="625"/>
      <c r="B386" s="626"/>
      <c r="C386" s="627"/>
      <c r="D386" s="628"/>
      <c r="E386" s="629"/>
      <c r="F386" s="629"/>
      <c r="G386" s="629"/>
      <c r="H386" s="629"/>
      <c r="I386" s="630"/>
      <c r="J386" s="631"/>
      <c r="K386" s="632"/>
      <c r="L386" s="632"/>
      <c r="M386" s="633"/>
      <c r="N386" s="625"/>
      <c r="O386" s="634"/>
      <c r="P386" s="632"/>
      <c r="Q386" s="632"/>
      <c r="R386" s="633"/>
      <c r="S386" s="634"/>
      <c r="T386" s="635"/>
      <c r="U386" s="636"/>
      <c r="V386" s="637"/>
      <c r="W386" s="637"/>
    </row>
    <row r="387">
      <c r="A387" s="625"/>
      <c r="B387" s="626"/>
      <c r="C387" s="627"/>
      <c r="D387" s="628"/>
      <c r="E387" s="629"/>
      <c r="F387" s="629"/>
      <c r="G387" s="629"/>
      <c r="H387" s="629"/>
      <c r="I387" s="630"/>
      <c r="J387" s="631"/>
      <c r="K387" s="632"/>
      <c r="L387" s="632"/>
      <c r="M387" s="633"/>
      <c r="N387" s="625"/>
      <c r="O387" s="634"/>
      <c r="P387" s="632"/>
      <c r="Q387" s="632"/>
      <c r="R387" s="633"/>
      <c r="S387" s="634"/>
      <c r="T387" s="635"/>
      <c r="U387" s="636"/>
      <c r="V387" s="637"/>
      <c r="W387" s="637"/>
    </row>
    <row r="388">
      <c r="A388" s="625"/>
      <c r="B388" s="626"/>
      <c r="C388" s="627"/>
      <c r="D388" s="628"/>
      <c r="E388" s="629"/>
      <c r="F388" s="629"/>
      <c r="G388" s="629"/>
      <c r="H388" s="629"/>
      <c r="I388" s="630"/>
      <c r="J388" s="631"/>
      <c r="K388" s="632"/>
      <c r="L388" s="632"/>
      <c r="M388" s="633"/>
      <c r="N388" s="625"/>
      <c r="O388" s="634"/>
      <c r="P388" s="632"/>
      <c r="Q388" s="632"/>
      <c r="R388" s="633"/>
      <c r="S388" s="634"/>
      <c r="T388" s="635"/>
      <c r="U388" s="636"/>
      <c r="V388" s="637"/>
      <c r="W388" s="637"/>
    </row>
    <row r="389">
      <c r="A389" s="625"/>
      <c r="B389" s="626"/>
      <c r="C389" s="627"/>
      <c r="D389" s="628"/>
      <c r="E389" s="629"/>
      <c r="F389" s="629"/>
      <c r="G389" s="629"/>
      <c r="H389" s="629"/>
      <c r="I389" s="630"/>
      <c r="J389" s="631"/>
      <c r="K389" s="632"/>
      <c r="L389" s="632"/>
      <c r="M389" s="633"/>
      <c r="N389" s="625"/>
      <c r="O389" s="634"/>
      <c r="P389" s="632"/>
      <c r="Q389" s="632"/>
      <c r="R389" s="633"/>
      <c r="S389" s="634"/>
      <c r="T389" s="635"/>
      <c r="U389" s="636"/>
      <c r="V389" s="637"/>
      <c r="W389" s="637"/>
    </row>
    <row r="390">
      <c r="A390" s="625"/>
      <c r="B390" s="626"/>
      <c r="C390" s="627"/>
      <c r="D390" s="628"/>
      <c r="E390" s="629"/>
      <c r="F390" s="629"/>
      <c r="G390" s="629"/>
      <c r="H390" s="629"/>
      <c r="I390" s="630"/>
      <c r="J390" s="631"/>
      <c r="K390" s="632"/>
      <c r="L390" s="632"/>
      <c r="M390" s="633"/>
      <c r="N390" s="625"/>
      <c r="O390" s="634"/>
      <c r="P390" s="632"/>
      <c r="Q390" s="632"/>
      <c r="R390" s="633"/>
      <c r="S390" s="634"/>
      <c r="T390" s="635"/>
      <c r="U390" s="636"/>
      <c r="V390" s="637"/>
      <c r="W390" s="637"/>
    </row>
    <row r="391">
      <c r="A391" s="625"/>
      <c r="B391" s="626"/>
      <c r="C391" s="627"/>
      <c r="D391" s="628"/>
      <c r="E391" s="629"/>
      <c r="F391" s="629"/>
      <c r="G391" s="629"/>
      <c r="H391" s="629"/>
      <c r="I391" s="630"/>
      <c r="J391" s="631"/>
      <c r="K391" s="632"/>
      <c r="L391" s="632"/>
      <c r="M391" s="633"/>
      <c r="N391" s="625"/>
      <c r="O391" s="634"/>
      <c r="P391" s="632"/>
      <c r="Q391" s="632"/>
      <c r="R391" s="633"/>
      <c r="S391" s="634"/>
      <c r="T391" s="635"/>
      <c r="U391" s="636"/>
      <c r="V391" s="637"/>
      <c r="W391" s="637"/>
    </row>
    <row r="392">
      <c r="A392" s="625"/>
      <c r="B392" s="626"/>
      <c r="C392" s="627"/>
      <c r="D392" s="628"/>
      <c r="E392" s="629"/>
      <c r="F392" s="629"/>
      <c r="G392" s="629"/>
      <c r="H392" s="629"/>
      <c r="I392" s="630"/>
      <c r="J392" s="631"/>
      <c r="K392" s="632"/>
      <c r="L392" s="632"/>
      <c r="M392" s="633"/>
      <c r="N392" s="625"/>
      <c r="O392" s="634"/>
      <c r="P392" s="632"/>
      <c r="Q392" s="632"/>
      <c r="R392" s="633"/>
      <c r="S392" s="634"/>
      <c r="T392" s="635"/>
      <c r="U392" s="636"/>
      <c r="V392" s="637"/>
      <c r="W392" s="637"/>
    </row>
    <row r="393">
      <c r="A393" s="625"/>
      <c r="B393" s="626"/>
      <c r="C393" s="627"/>
      <c r="D393" s="628"/>
      <c r="E393" s="629"/>
      <c r="F393" s="629"/>
      <c r="G393" s="629"/>
      <c r="H393" s="629"/>
      <c r="I393" s="630"/>
      <c r="J393" s="631"/>
      <c r="K393" s="632"/>
      <c r="L393" s="632"/>
      <c r="M393" s="633"/>
      <c r="N393" s="625"/>
      <c r="O393" s="634"/>
      <c r="P393" s="632"/>
      <c r="Q393" s="632"/>
      <c r="R393" s="633"/>
      <c r="S393" s="634"/>
      <c r="T393" s="635"/>
      <c r="U393" s="636"/>
      <c r="V393" s="637"/>
      <c r="W393" s="637"/>
    </row>
    <row r="394">
      <c r="A394" s="625"/>
      <c r="B394" s="626"/>
      <c r="C394" s="627"/>
      <c r="D394" s="628"/>
      <c r="E394" s="629"/>
      <c r="F394" s="629"/>
      <c r="G394" s="629"/>
      <c r="H394" s="629"/>
      <c r="I394" s="630"/>
      <c r="J394" s="631"/>
      <c r="K394" s="632"/>
      <c r="L394" s="632"/>
      <c r="M394" s="633"/>
      <c r="N394" s="625"/>
      <c r="O394" s="634"/>
      <c r="P394" s="632"/>
      <c r="Q394" s="632"/>
      <c r="R394" s="633"/>
      <c r="S394" s="634"/>
      <c r="T394" s="635"/>
      <c r="U394" s="636"/>
      <c r="V394" s="637"/>
      <c r="W394" s="637"/>
    </row>
    <row r="395">
      <c r="A395" s="625"/>
      <c r="B395" s="626"/>
      <c r="C395" s="627"/>
      <c r="D395" s="628"/>
      <c r="E395" s="629"/>
      <c r="F395" s="629"/>
      <c r="G395" s="629"/>
      <c r="H395" s="629"/>
      <c r="I395" s="630"/>
      <c r="J395" s="631"/>
      <c r="K395" s="632"/>
      <c r="L395" s="632"/>
      <c r="M395" s="633"/>
      <c r="N395" s="625"/>
      <c r="O395" s="634"/>
      <c r="P395" s="632"/>
      <c r="Q395" s="632"/>
      <c r="R395" s="633"/>
      <c r="S395" s="634"/>
      <c r="T395" s="635"/>
      <c r="U395" s="636"/>
      <c r="V395" s="637"/>
      <c r="W395" s="637"/>
    </row>
    <row r="396">
      <c r="A396" s="625"/>
      <c r="B396" s="626"/>
      <c r="C396" s="627"/>
      <c r="D396" s="628"/>
      <c r="E396" s="629"/>
      <c r="F396" s="629"/>
      <c r="G396" s="629"/>
      <c r="H396" s="629"/>
      <c r="I396" s="630"/>
      <c r="J396" s="631"/>
      <c r="K396" s="632"/>
      <c r="L396" s="632"/>
      <c r="M396" s="633"/>
      <c r="N396" s="625"/>
      <c r="O396" s="634"/>
      <c r="P396" s="632"/>
      <c r="Q396" s="632"/>
      <c r="R396" s="633"/>
      <c r="S396" s="634"/>
      <c r="T396" s="635"/>
      <c r="U396" s="636"/>
      <c r="V396" s="637"/>
      <c r="W396" s="637"/>
    </row>
    <row r="397">
      <c r="A397" s="625"/>
      <c r="B397" s="626"/>
      <c r="C397" s="627"/>
      <c r="D397" s="628"/>
      <c r="E397" s="629"/>
      <c r="F397" s="629"/>
      <c r="G397" s="629"/>
      <c r="H397" s="629"/>
      <c r="I397" s="630"/>
      <c r="J397" s="631"/>
      <c r="K397" s="632"/>
      <c r="L397" s="632"/>
      <c r="M397" s="633"/>
      <c r="N397" s="625"/>
      <c r="O397" s="634"/>
      <c r="P397" s="632"/>
      <c r="Q397" s="632"/>
      <c r="R397" s="633"/>
      <c r="S397" s="634"/>
      <c r="T397" s="635"/>
      <c r="U397" s="636"/>
      <c r="V397" s="637"/>
      <c r="W397" s="637"/>
    </row>
    <row r="398">
      <c r="A398" s="625"/>
      <c r="B398" s="626"/>
      <c r="C398" s="627"/>
      <c r="D398" s="628"/>
      <c r="E398" s="629"/>
      <c r="F398" s="629"/>
      <c r="G398" s="629"/>
      <c r="H398" s="629"/>
      <c r="I398" s="630"/>
      <c r="J398" s="631"/>
      <c r="K398" s="632"/>
      <c r="L398" s="632"/>
      <c r="M398" s="633"/>
      <c r="N398" s="625"/>
      <c r="O398" s="634"/>
      <c r="P398" s="632"/>
      <c r="Q398" s="632"/>
      <c r="R398" s="633"/>
      <c r="S398" s="634"/>
      <c r="T398" s="635"/>
      <c r="U398" s="636"/>
      <c r="V398" s="637"/>
      <c r="W398" s="637"/>
    </row>
    <row r="399">
      <c r="A399" s="625"/>
      <c r="B399" s="626"/>
      <c r="C399" s="627"/>
      <c r="D399" s="628"/>
      <c r="E399" s="629"/>
      <c r="F399" s="629"/>
      <c r="G399" s="629"/>
      <c r="H399" s="629"/>
      <c r="I399" s="630"/>
      <c r="J399" s="631"/>
      <c r="K399" s="632"/>
      <c r="L399" s="632"/>
      <c r="M399" s="633"/>
      <c r="N399" s="625"/>
      <c r="O399" s="634"/>
      <c r="P399" s="632"/>
      <c r="Q399" s="632"/>
      <c r="R399" s="633"/>
      <c r="S399" s="634"/>
      <c r="T399" s="635"/>
      <c r="U399" s="636"/>
      <c r="V399" s="637"/>
      <c r="W399" s="637"/>
    </row>
    <row r="400">
      <c r="A400" s="625"/>
      <c r="B400" s="626"/>
      <c r="C400" s="627"/>
      <c r="D400" s="628"/>
      <c r="E400" s="629"/>
      <c r="F400" s="629"/>
      <c r="G400" s="629"/>
      <c r="H400" s="629"/>
      <c r="I400" s="630"/>
      <c r="J400" s="631"/>
      <c r="K400" s="632"/>
      <c r="L400" s="632"/>
      <c r="M400" s="633"/>
      <c r="N400" s="625"/>
      <c r="O400" s="634"/>
      <c r="P400" s="632"/>
      <c r="Q400" s="632"/>
      <c r="R400" s="633"/>
      <c r="S400" s="634"/>
      <c r="T400" s="635"/>
      <c r="U400" s="636"/>
      <c r="V400" s="637"/>
      <c r="W400" s="637"/>
    </row>
    <row r="401">
      <c r="A401" s="625"/>
      <c r="B401" s="626"/>
      <c r="C401" s="627"/>
      <c r="D401" s="628"/>
      <c r="E401" s="629"/>
      <c r="F401" s="629"/>
      <c r="G401" s="629"/>
      <c r="H401" s="629"/>
      <c r="I401" s="630"/>
      <c r="J401" s="631"/>
      <c r="K401" s="632"/>
      <c r="L401" s="632"/>
      <c r="M401" s="633"/>
      <c r="N401" s="625"/>
      <c r="O401" s="634"/>
      <c r="P401" s="632"/>
      <c r="Q401" s="632"/>
      <c r="R401" s="633"/>
      <c r="S401" s="634"/>
      <c r="T401" s="635"/>
      <c r="U401" s="636"/>
      <c r="V401" s="637"/>
      <c r="W401" s="637"/>
    </row>
    <row r="402">
      <c r="A402" s="625"/>
      <c r="B402" s="626"/>
      <c r="C402" s="627"/>
      <c r="D402" s="628"/>
      <c r="E402" s="629"/>
      <c r="F402" s="629"/>
      <c r="G402" s="629"/>
      <c r="H402" s="629"/>
      <c r="I402" s="630"/>
      <c r="J402" s="631"/>
      <c r="K402" s="632"/>
      <c r="L402" s="632"/>
      <c r="M402" s="633"/>
      <c r="N402" s="625"/>
      <c r="O402" s="634"/>
      <c r="P402" s="632"/>
      <c r="Q402" s="632"/>
      <c r="R402" s="633"/>
      <c r="S402" s="634"/>
      <c r="T402" s="635"/>
      <c r="U402" s="636"/>
      <c r="V402" s="637"/>
      <c r="W402" s="637"/>
    </row>
    <row r="403">
      <c r="A403" s="625"/>
      <c r="B403" s="626"/>
      <c r="C403" s="627"/>
      <c r="D403" s="628"/>
      <c r="E403" s="629"/>
      <c r="F403" s="629"/>
      <c r="G403" s="629"/>
      <c r="H403" s="629"/>
      <c r="I403" s="630"/>
      <c r="J403" s="631"/>
      <c r="K403" s="632"/>
      <c r="L403" s="632"/>
      <c r="M403" s="633"/>
      <c r="N403" s="625"/>
      <c r="O403" s="634"/>
      <c r="P403" s="632"/>
      <c r="Q403" s="632"/>
      <c r="R403" s="633"/>
      <c r="S403" s="634"/>
      <c r="T403" s="635"/>
      <c r="U403" s="636"/>
      <c r="V403" s="637"/>
      <c r="W403" s="637"/>
    </row>
    <row r="404">
      <c r="A404" s="625"/>
      <c r="B404" s="626"/>
      <c r="C404" s="627"/>
      <c r="D404" s="628"/>
      <c r="E404" s="629"/>
      <c r="F404" s="629"/>
      <c r="G404" s="629"/>
      <c r="H404" s="629"/>
      <c r="I404" s="630"/>
      <c r="J404" s="631"/>
      <c r="K404" s="632"/>
      <c r="L404" s="632"/>
      <c r="M404" s="633"/>
      <c r="N404" s="625"/>
      <c r="O404" s="634"/>
      <c r="P404" s="632"/>
      <c r="Q404" s="632"/>
      <c r="R404" s="633"/>
      <c r="S404" s="634"/>
      <c r="T404" s="635"/>
      <c r="U404" s="636"/>
      <c r="V404" s="637"/>
      <c r="W404" s="637"/>
    </row>
    <row r="405">
      <c r="A405" s="625"/>
      <c r="B405" s="626"/>
      <c r="C405" s="627"/>
      <c r="D405" s="628"/>
      <c r="E405" s="629"/>
      <c r="F405" s="629"/>
      <c r="G405" s="629"/>
      <c r="H405" s="629"/>
      <c r="I405" s="630"/>
      <c r="J405" s="631"/>
      <c r="K405" s="632"/>
      <c r="L405" s="632"/>
      <c r="M405" s="633"/>
      <c r="N405" s="625"/>
      <c r="O405" s="634"/>
      <c r="P405" s="632"/>
      <c r="Q405" s="632"/>
      <c r="R405" s="633"/>
      <c r="S405" s="634"/>
      <c r="T405" s="635"/>
      <c r="U405" s="636"/>
      <c r="V405" s="637"/>
      <c r="W405" s="637"/>
    </row>
    <row r="406">
      <c r="A406" s="625"/>
      <c r="B406" s="626"/>
      <c r="C406" s="627"/>
      <c r="D406" s="628"/>
      <c r="E406" s="629"/>
      <c r="F406" s="629"/>
      <c r="G406" s="629"/>
      <c r="H406" s="629"/>
      <c r="I406" s="630"/>
      <c r="J406" s="631"/>
      <c r="K406" s="632"/>
      <c r="L406" s="632"/>
      <c r="M406" s="633"/>
      <c r="N406" s="625"/>
      <c r="O406" s="634"/>
      <c r="P406" s="632"/>
      <c r="Q406" s="632"/>
      <c r="R406" s="633"/>
      <c r="S406" s="634"/>
      <c r="T406" s="635"/>
      <c r="U406" s="636"/>
      <c r="V406" s="637"/>
      <c r="W406" s="637"/>
    </row>
    <row r="407">
      <c r="A407" s="625"/>
      <c r="B407" s="626"/>
      <c r="C407" s="627"/>
      <c r="D407" s="628"/>
      <c r="E407" s="629"/>
      <c r="F407" s="629"/>
      <c r="G407" s="629"/>
      <c r="H407" s="629"/>
      <c r="I407" s="630"/>
      <c r="J407" s="631"/>
      <c r="K407" s="632"/>
      <c r="L407" s="632"/>
      <c r="M407" s="633"/>
      <c r="N407" s="625"/>
      <c r="O407" s="634"/>
      <c r="P407" s="632"/>
      <c r="Q407" s="632"/>
      <c r="R407" s="633"/>
      <c r="S407" s="634"/>
      <c r="T407" s="635"/>
      <c r="U407" s="636"/>
      <c r="V407" s="637"/>
      <c r="W407" s="637"/>
    </row>
    <row r="408">
      <c r="A408" s="625"/>
      <c r="B408" s="626"/>
      <c r="C408" s="627"/>
      <c r="D408" s="628"/>
      <c r="E408" s="629"/>
      <c r="F408" s="629"/>
      <c r="G408" s="629"/>
      <c r="H408" s="629"/>
      <c r="I408" s="630"/>
      <c r="J408" s="631"/>
      <c r="K408" s="632"/>
      <c r="L408" s="632"/>
      <c r="M408" s="633"/>
      <c r="N408" s="625"/>
      <c r="O408" s="634"/>
      <c r="P408" s="632"/>
      <c r="Q408" s="632"/>
      <c r="R408" s="633"/>
      <c r="S408" s="634"/>
      <c r="T408" s="635"/>
      <c r="U408" s="636"/>
      <c r="V408" s="637"/>
      <c r="W408" s="637"/>
    </row>
    <row r="409">
      <c r="A409" s="625"/>
      <c r="B409" s="626"/>
      <c r="C409" s="627"/>
      <c r="D409" s="628"/>
      <c r="E409" s="629"/>
      <c r="F409" s="629"/>
      <c r="G409" s="629"/>
      <c r="H409" s="629"/>
      <c r="I409" s="630"/>
      <c r="J409" s="631"/>
      <c r="K409" s="632"/>
      <c r="L409" s="632"/>
      <c r="M409" s="633"/>
      <c r="N409" s="625"/>
      <c r="O409" s="634"/>
      <c r="P409" s="632"/>
      <c r="Q409" s="632"/>
      <c r="R409" s="633"/>
      <c r="S409" s="634"/>
      <c r="T409" s="635"/>
      <c r="U409" s="636"/>
      <c r="V409" s="637"/>
      <c r="W409" s="637"/>
    </row>
    <row r="410">
      <c r="A410" s="625"/>
      <c r="B410" s="626"/>
      <c r="C410" s="627"/>
      <c r="D410" s="628"/>
      <c r="E410" s="629"/>
      <c r="F410" s="629"/>
      <c r="G410" s="629"/>
      <c r="H410" s="629"/>
      <c r="I410" s="630"/>
      <c r="J410" s="631"/>
      <c r="K410" s="632"/>
      <c r="L410" s="632"/>
      <c r="M410" s="633"/>
      <c r="N410" s="625"/>
      <c r="O410" s="634"/>
      <c r="P410" s="632"/>
      <c r="Q410" s="632"/>
      <c r="R410" s="633"/>
      <c r="S410" s="634"/>
      <c r="T410" s="635"/>
      <c r="U410" s="636"/>
      <c r="V410" s="637"/>
      <c r="W410" s="637"/>
    </row>
    <row r="411">
      <c r="A411" s="625"/>
      <c r="B411" s="626"/>
      <c r="C411" s="627"/>
      <c r="D411" s="628"/>
      <c r="E411" s="629"/>
      <c r="F411" s="629"/>
      <c r="G411" s="629"/>
      <c r="H411" s="629"/>
      <c r="I411" s="630"/>
      <c r="J411" s="631"/>
      <c r="K411" s="632"/>
      <c r="L411" s="632"/>
      <c r="M411" s="633"/>
      <c r="N411" s="625"/>
      <c r="O411" s="634"/>
      <c r="P411" s="632"/>
      <c r="Q411" s="632"/>
      <c r="R411" s="633"/>
      <c r="S411" s="634"/>
      <c r="T411" s="635"/>
      <c r="U411" s="636"/>
      <c r="V411" s="637"/>
      <c r="W411" s="637"/>
    </row>
    <row r="412">
      <c r="A412" s="625"/>
      <c r="B412" s="626"/>
      <c r="C412" s="627"/>
      <c r="D412" s="628"/>
      <c r="E412" s="629"/>
      <c r="F412" s="629"/>
      <c r="G412" s="629"/>
      <c r="H412" s="629"/>
      <c r="I412" s="630"/>
      <c r="J412" s="631"/>
      <c r="K412" s="632"/>
      <c r="L412" s="632"/>
      <c r="M412" s="633"/>
      <c r="N412" s="625"/>
      <c r="O412" s="634"/>
      <c r="P412" s="632"/>
      <c r="Q412" s="632"/>
      <c r="R412" s="633"/>
      <c r="S412" s="634"/>
      <c r="T412" s="635"/>
      <c r="U412" s="636"/>
      <c r="V412" s="637"/>
      <c r="W412" s="637"/>
    </row>
    <row r="413">
      <c r="A413" s="625"/>
      <c r="B413" s="626"/>
      <c r="C413" s="627"/>
      <c r="D413" s="628"/>
      <c r="E413" s="629"/>
      <c r="F413" s="629"/>
      <c r="G413" s="629"/>
      <c r="H413" s="629"/>
      <c r="I413" s="630"/>
      <c r="J413" s="631"/>
      <c r="K413" s="632"/>
      <c r="L413" s="632"/>
      <c r="M413" s="633"/>
      <c r="N413" s="625"/>
      <c r="O413" s="634"/>
      <c r="P413" s="632"/>
      <c r="Q413" s="632"/>
      <c r="R413" s="633"/>
      <c r="S413" s="634"/>
      <c r="T413" s="635"/>
      <c r="U413" s="636"/>
      <c r="V413" s="637"/>
      <c r="W413" s="637"/>
    </row>
    <row r="414">
      <c r="A414" s="625"/>
      <c r="B414" s="626"/>
      <c r="C414" s="627"/>
      <c r="D414" s="628"/>
      <c r="E414" s="629"/>
      <c r="F414" s="629"/>
      <c r="G414" s="629"/>
      <c r="H414" s="629"/>
      <c r="I414" s="630"/>
      <c r="J414" s="631"/>
      <c r="K414" s="632"/>
      <c r="L414" s="632"/>
      <c r="M414" s="633"/>
      <c r="N414" s="625"/>
      <c r="O414" s="634"/>
      <c r="P414" s="632"/>
      <c r="Q414" s="632"/>
      <c r="R414" s="633"/>
      <c r="S414" s="634"/>
      <c r="T414" s="635"/>
      <c r="U414" s="636"/>
      <c r="V414" s="637"/>
      <c r="W414" s="637"/>
    </row>
    <row r="415">
      <c r="A415" s="625"/>
      <c r="B415" s="626"/>
      <c r="C415" s="627"/>
      <c r="D415" s="628"/>
      <c r="E415" s="629"/>
      <c r="F415" s="629"/>
      <c r="G415" s="629"/>
      <c r="H415" s="629"/>
      <c r="I415" s="630"/>
      <c r="J415" s="631"/>
      <c r="K415" s="632"/>
      <c r="L415" s="632"/>
      <c r="M415" s="633"/>
      <c r="N415" s="625"/>
      <c r="O415" s="634"/>
      <c r="P415" s="632"/>
      <c r="Q415" s="632"/>
      <c r="R415" s="633"/>
      <c r="S415" s="634"/>
      <c r="T415" s="635"/>
      <c r="U415" s="636"/>
      <c r="V415" s="637"/>
      <c r="W415" s="637"/>
    </row>
    <row r="416">
      <c r="A416" s="625"/>
      <c r="B416" s="626"/>
      <c r="C416" s="627"/>
      <c r="D416" s="628"/>
      <c r="E416" s="629"/>
      <c r="F416" s="629"/>
      <c r="G416" s="629"/>
      <c r="H416" s="629"/>
      <c r="I416" s="630"/>
      <c r="J416" s="631"/>
      <c r="K416" s="632"/>
      <c r="L416" s="632"/>
      <c r="M416" s="633"/>
      <c r="N416" s="625"/>
      <c r="O416" s="634"/>
      <c r="P416" s="632"/>
      <c r="Q416" s="632"/>
      <c r="R416" s="633"/>
      <c r="S416" s="634"/>
      <c r="T416" s="635"/>
      <c r="U416" s="636"/>
      <c r="V416" s="637"/>
      <c r="W416" s="637"/>
    </row>
    <row r="417">
      <c r="A417" s="625"/>
      <c r="B417" s="626"/>
      <c r="C417" s="627"/>
      <c r="D417" s="628"/>
      <c r="E417" s="629"/>
      <c r="F417" s="629"/>
      <c r="G417" s="629"/>
      <c r="H417" s="629"/>
      <c r="I417" s="630"/>
      <c r="J417" s="631"/>
      <c r="K417" s="632"/>
      <c r="L417" s="632"/>
      <c r="M417" s="633"/>
      <c r="N417" s="625"/>
      <c r="O417" s="634"/>
      <c r="P417" s="632"/>
      <c r="Q417" s="632"/>
      <c r="R417" s="633"/>
      <c r="S417" s="634"/>
      <c r="T417" s="635"/>
      <c r="U417" s="636"/>
      <c r="V417" s="637"/>
      <c r="W417" s="637"/>
    </row>
    <row r="418">
      <c r="A418" s="625"/>
      <c r="B418" s="626"/>
      <c r="C418" s="627"/>
      <c r="D418" s="628"/>
      <c r="E418" s="629"/>
      <c r="F418" s="629"/>
      <c r="G418" s="629"/>
      <c r="H418" s="629"/>
      <c r="I418" s="630"/>
      <c r="J418" s="631"/>
      <c r="K418" s="632"/>
      <c r="L418" s="632"/>
      <c r="M418" s="633"/>
      <c r="N418" s="625"/>
      <c r="O418" s="634"/>
      <c r="P418" s="632"/>
      <c r="Q418" s="632"/>
      <c r="R418" s="633"/>
      <c r="S418" s="634"/>
      <c r="T418" s="635"/>
      <c r="U418" s="636"/>
      <c r="V418" s="637"/>
      <c r="W418" s="637"/>
    </row>
    <row r="419">
      <c r="A419" s="625"/>
      <c r="B419" s="626"/>
      <c r="C419" s="627"/>
      <c r="D419" s="628"/>
      <c r="E419" s="629"/>
      <c r="F419" s="629"/>
      <c r="G419" s="629"/>
      <c r="H419" s="629"/>
      <c r="I419" s="630"/>
      <c r="J419" s="631"/>
      <c r="K419" s="632"/>
      <c r="L419" s="632"/>
      <c r="M419" s="633"/>
      <c r="N419" s="625"/>
      <c r="O419" s="634"/>
      <c r="P419" s="632"/>
      <c r="Q419" s="632"/>
      <c r="R419" s="633"/>
      <c r="S419" s="634"/>
      <c r="T419" s="635"/>
      <c r="U419" s="636"/>
      <c r="V419" s="637"/>
      <c r="W419" s="637"/>
    </row>
    <row r="420">
      <c r="A420" s="625"/>
      <c r="B420" s="626"/>
      <c r="C420" s="627"/>
      <c r="D420" s="628"/>
      <c r="E420" s="629"/>
      <c r="F420" s="629"/>
      <c r="G420" s="629"/>
      <c r="H420" s="629"/>
      <c r="I420" s="630"/>
      <c r="J420" s="631"/>
      <c r="K420" s="632"/>
      <c r="L420" s="632"/>
      <c r="M420" s="633"/>
      <c r="N420" s="625"/>
      <c r="O420" s="634"/>
      <c r="P420" s="632"/>
      <c r="Q420" s="632"/>
      <c r="R420" s="633"/>
      <c r="S420" s="634"/>
      <c r="T420" s="635"/>
      <c r="U420" s="636"/>
      <c r="V420" s="637"/>
      <c r="W420" s="637"/>
    </row>
    <row r="421">
      <c r="A421" s="625"/>
      <c r="B421" s="626"/>
      <c r="C421" s="627"/>
      <c r="D421" s="628"/>
      <c r="E421" s="629"/>
      <c r="F421" s="629"/>
      <c r="G421" s="629"/>
      <c r="H421" s="629"/>
      <c r="I421" s="630"/>
      <c r="J421" s="631"/>
      <c r="K421" s="632"/>
      <c r="L421" s="632"/>
      <c r="M421" s="633"/>
      <c r="N421" s="625"/>
      <c r="O421" s="634"/>
      <c r="P421" s="632"/>
      <c r="Q421" s="632"/>
      <c r="R421" s="633"/>
      <c r="S421" s="634"/>
      <c r="T421" s="635"/>
      <c r="U421" s="636"/>
      <c r="V421" s="637"/>
      <c r="W421" s="637"/>
    </row>
    <row r="422">
      <c r="A422" s="625"/>
      <c r="B422" s="626"/>
      <c r="C422" s="627"/>
      <c r="D422" s="628"/>
      <c r="E422" s="629"/>
      <c r="F422" s="629"/>
      <c r="G422" s="629"/>
      <c r="H422" s="629"/>
      <c r="I422" s="630"/>
      <c r="J422" s="631"/>
      <c r="K422" s="632"/>
      <c r="L422" s="632"/>
      <c r="M422" s="633"/>
      <c r="N422" s="625"/>
      <c r="O422" s="634"/>
      <c r="P422" s="632"/>
      <c r="Q422" s="632"/>
      <c r="R422" s="633"/>
      <c r="S422" s="634"/>
      <c r="T422" s="635"/>
      <c r="U422" s="636"/>
      <c r="V422" s="637"/>
      <c r="W422" s="637"/>
    </row>
    <row r="423">
      <c r="A423" s="625"/>
      <c r="B423" s="626"/>
      <c r="C423" s="627"/>
      <c r="D423" s="628"/>
      <c r="E423" s="629"/>
      <c r="F423" s="629"/>
      <c r="G423" s="629"/>
      <c r="H423" s="629"/>
      <c r="I423" s="630"/>
      <c r="J423" s="631"/>
      <c r="K423" s="632"/>
      <c r="L423" s="632"/>
      <c r="M423" s="633"/>
      <c r="N423" s="625"/>
      <c r="O423" s="634"/>
      <c r="P423" s="632"/>
      <c r="Q423" s="632"/>
      <c r="R423" s="633"/>
      <c r="S423" s="634"/>
      <c r="T423" s="635"/>
      <c r="U423" s="636"/>
      <c r="V423" s="637"/>
      <c r="W423" s="637"/>
    </row>
    <row r="424">
      <c r="A424" s="625"/>
      <c r="B424" s="626"/>
      <c r="C424" s="627"/>
      <c r="D424" s="628"/>
      <c r="E424" s="629"/>
      <c r="F424" s="629"/>
      <c r="G424" s="629"/>
      <c r="H424" s="629"/>
      <c r="I424" s="630"/>
      <c r="J424" s="631"/>
      <c r="K424" s="632"/>
      <c r="L424" s="632"/>
      <c r="M424" s="633"/>
      <c r="N424" s="625"/>
      <c r="O424" s="634"/>
      <c r="P424" s="632"/>
      <c r="Q424" s="632"/>
      <c r="R424" s="633"/>
      <c r="S424" s="634"/>
      <c r="T424" s="635"/>
      <c r="U424" s="636"/>
      <c r="V424" s="637"/>
      <c r="W424" s="637"/>
    </row>
    <row r="425">
      <c r="A425" s="625"/>
      <c r="B425" s="626"/>
      <c r="C425" s="627"/>
      <c r="D425" s="628"/>
      <c r="E425" s="629"/>
      <c r="F425" s="629"/>
      <c r="G425" s="629"/>
      <c r="H425" s="629"/>
      <c r="I425" s="630"/>
      <c r="J425" s="631"/>
      <c r="K425" s="632"/>
      <c r="L425" s="632"/>
      <c r="M425" s="633"/>
      <c r="N425" s="625"/>
      <c r="O425" s="634"/>
      <c r="P425" s="632"/>
      <c r="Q425" s="632"/>
      <c r="R425" s="633"/>
      <c r="S425" s="634"/>
      <c r="T425" s="635"/>
      <c r="U425" s="636"/>
      <c r="V425" s="637"/>
      <c r="W425" s="637"/>
    </row>
    <row r="426">
      <c r="A426" s="625"/>
      <c r="B426" s="626"/>
      <c r="C426" s="627"/>
      <c r="D426" s="628"/>
      <c r="E426" s="629"/>
      <c r="F426" s="629"/>
      <c r="G426" s="629"/>
      <c r="H426" s="629"/>
      <c r="I426" s="630"/>
      <c r="J426" s="631"/>
      <c r="K426" s="632"/>
      <c r="L426" s="632"/>
      <c r="M426" s="633"/>
      <c r="N426" s="625"/>
      <c r="O426" s="634"/>
      <c r="P426" s="632"/>
      <c r="Q426" s="632"/>
      <c r="R426" s="633"/>
      <c r="S426" s="634"/>
      <c r="T426" s="635"/>
      <c r="U426" s="636"/>
      <c r="V426" s="637"/>
      <c r="W426" s="637"/>
    </row>
    <row r="427">
      <c r="A427" s="625"/>
      <c r="B427" s="626"/>
      <c r="C427" s="627"/>
      <c r="D427" s="628"/>
      <c r="E427" s="629"/>
      <c r="F427" s="629"/>
      <c r="G427" s="629"/>
      <c r="H427" s="629"/>
      <c r="I427" s="630"/>
      <c r="J427" s="631"/>
      <c r="K427" s="632"/>
      <c r="L427" s="632"/>
      <c r="M427" s="633"/>
      <c r="N427" s="625"/>
      <c r="O427" s="634"/>
      <c r="P427" s="632"/>
      <c r="Q427" s="632"/>
      <c r="R427" s="633"/>
      <c r="S427" s="634"/>
      <c r="T427" s="635"/>
      <c r="U427" s="636"/>
      <c r="V427" s="637"/>
      <c r="W427" s="637"/>
    </row>
    <row r="428">
      <c r="A428" s="625"/>
      <c r="B428" s="626"/>
      <c r="C428" s="627"/>
      <c r="D428" s="628"/>
      <c r="E428" s="629"/>
      <c r="F428" s="629"/>
      <c r="G428" s="629"/>
      <c r="H428" s="629"/>
      <c r="I428" s="630"/>
      <c r="J428" s="631"/>
      <c r="K428" s="632"/>
      <c r="L428" s="632"/>
      <c r="M428" s="633"/>
      <c r="N428" s="625"/>
      <c r="O428" s="634"/>
      <c r="P428" s="632"/>
      <c r="Q428" s="632"/>
      <c r="R428" s="633"/>
      <c r="S428" s="634"/>
      <c r="T428" s="635"/>
      <c r="U428" s="636"/>
      <c r="V428" s="637"/>
      <c r="W428" s="637"/>
    </row>
    <row r="429">
      <c r="A429" s="625"/>
      <c r="B429" s="626"/>
      <c r="C429" s="627"/>
      <c r="D429" s="628"/>
      <c r="E429" s="629"/>
      <c r="F429" s="629"/>
      <c r="G429" s="629"/>
      <c r="H429" s="629"/>
      <c r="I429" s="630"/>
      <c r="J429" s="631"/>
      <c r="K429" s="632"/>
      <c r="L429" s="632"/>
      <c r="M429" s="633"/>
      <c r="N429" s="625"/>
      <c r="O429" s="634"/>
      <c r="P429" s="632"/>
      <c r="Q429" s="632"/>
      <c r="R429" s="633"/>
      <c r="S429" s="634"/>
      <c r="T429" s="635"/>
      <c r="U429" s="636"/>
      <c r="V429" s="637"/>
      <c r="W429" s="637"/>
    </row>
    <row r="430">
      <c r="A430" s="625"/>
      <c r="B430" s="626"/>
      <c r="C430" s="627"/>
      <c r="D430" s="628"/>
      <c r="E430" s="629"/>
      <c r="F430" s="629"/>
      <c r="G430" s="629"/>
      <c r="H430" s="629"/>
      <c r="I430" s="630"/>
      <c r="J430" s="631"/>
      <c r="K430" s="632"/>
      <c r="L430" s="632"/>
      <c r="M430" s="633"/>
      <c r="N430" s="625"/>
      <c r="O430" s="634"/>
      <c r="P430" s="632"/>
      <c r="Q430" s="632"/>
      <c r="R430" s="633"/>
      <c r="S430" s="634"/>
      <c r="T430" s="635"/>
      <c r="U430" s="636"/>
      <c r="V430" s="637"/>
      <c r="W430" s="637"/>
    </row>
    <row r="431">
      <c r="A431" s="625"/>
      <c r="B431" s="626"/>
      <c r="C431" s="627"/>
      <c r="D431" s="628"/>
      <c r="E431" s="629"/>
      <c r="F431" s="629"/>
      <c r="G431" s="629"/>
      <c r="H431" s="629"/>
      <c r="I431" s="630"/>
      <c r="J431" s="631"/>
      <c r="K431" s="632"/>
      <c r="L431" s="632"/>
      <c r="M431" s="633"/>
      <c r="N431" s="625"/>
      <c r="O431" s="634"/>
      <c r="P431" s="632"/>
      <c r="Q431" s="632"/>
      <c r="R431" s="633"/>
      <c r="S431" s="634"/>
      <c r="T431" s="635"/>
      <c r="U431" s="636"/>
      <c r="V431" s="637"/>
      <c r="W431" s="637"/>
    </row>
    <row r="432">
      <c r="A432" s="625"/>
      <c r="B432" s="626"/>
      <c r="C432" s="627"/>
      <c r="D432" s="628"/>
      <c r="E432" s="629"/>
      <c r="F432" s="629"/>
      <c r="G432" s="629"/>
      <c r="H432" s="629"/>
      <c r="I432" s="630"/>
      <c r="J432" s="631"/>
      <c r="K432" s="632"/>
      <c r="L432" s="632"/>
      <c r="M432" s="633"/>
      <c r="N432" s="625"/>
      <c r="O432" s="634"/>
      <c r="P432" s="632"/>
      <c r="Q432" s="632"/>
      <c r="R432" s="633"/>
      <c r="S432" s="634"/>
      <c r="T432" s="635"/>
      <c r="U432" s="636"/>
      <c r="V432" s="637"/>
      <c r="W432" s="637"/>
    </row>
    <row r="433">
      <c r="A433" s="625"/>
      <c r="B433" s="626"/>
      <c r="C433" s="627"/>
      <c r="D433" s="628"/>
      <c r="E433" s="629"/>
      <c r="F433" s="629"/>
      <c r="G433" s="629"/>
      <c r="H433" s="629"/>
      <c r="I433" s="630"/>
      <c r="J433" s="631"/>
      <c r="K433" s="632"/>
      <c r="L433" s="632"/>
      <c r="M433" s="633"/>
      <c r="N433" s="625"/>
      <c r="O433" s="634"/>
      <c r="P433" s="632"/>
      <c r="Q433" s="632"/>
      <c r="R433" s="633"/>
      <c r="S433" s="634"/>
      <c r="T433" s="635"/>
      <c r="U433" s="636"/>
      <c r="V433" s="637"/>
      <c r="W433" s="637"/>
    </row>
    <row r="434">
      <c r="A434" s="625"/>
      <c r="B434" s="626"/>
      <c r="C434" s="627"/>
      <c r="D434" s="628"/>
      <c r="E434" s="629"/>
      <c r="F434" s="629"/>
      <c r="G434" s="629"/>
      <c r="H434" s="629"/>
      <c r="I434" s="630"/>
      <c r="J434" s="631"/>
      <c r="K434" s="632"/>
      <c r="L434" s="632"/>
      <c r="M434" s="633"/>
      <c r="N434" s="625"/>
      <c r="O434" s="634"/>
      <c r="P434" s="632"/>
      <c r="Q434" s="632"/>
      <c r="R434" s="633"/>
      <c r="S434" s="634"/>
      <c r="T434" s="635"/>
      <c r="U434" s="636"/>
      <c r="V434" s="637"/>
      <c r="W434" s="637"/>
    </row>
    <row r="435">
      <c r="A435" s="625"/>
      <c r="B435" s="626"/>
      <c r="C435" s="627"/>
      <c r="D435" s="628"/>
      <c r="E435" s="629"/>
      <c r="F435" s="629"/>
      <c r="G435" s="629"/>
      <c r="H435" s="629"/>
      <c r="I435" s="630"/>
      <c r="J435" s="631"/>
      <c r="K435" s="632"/>
      <c r="L435" s="632"/>
      <c r="M435" s="633"/>
      <c r="N435" s="625"/>
      <c r="O435" s="634"/>
      <c r="P435" s="632"/>
      <c r="Q435" s="632"/>
      <c r="R435" s="633"/>
      <c r="S435" s="634"/>
      <c r="T435" s="635"/>
      <c r="U435" s="636"/>
      <c r="V435" s="637"/>
      <c r="W435" s="637"/>
    </row>
    <row r="436">
      <c r="A436" s="625"/>
      <c r="B436" s="626"/>
      <c r="C436" s="627"/>
      <c r="D436" s="628"/>
      <c r="E436" s="629"/>
      <c r="F436" s="629"/>
      <c r="G436" s="629"/>
      <c r="H436" s="629"/>
      <c r="I436" s="630"/>
      <c r="J436" s="631"/>
      <c r="K436" s="632"/>
      <c r="L436" s="632"/>
      <c r="M436" s="633"/>
      <c r="N436" s="625"/>
      <c r="O436" s="634"/>
      <c r="P436" s="632"/>
      <c r="Q436" s="632"/>
      <c r="R436" s="633"/>
      <c r="S436" s="634"/>
      <c r="T436" s="635"/>
      <c r="U436" s="636"/>
      <c r="V436" s="637"/>
      <c r="W436" s="637"/>
    </row>
    <row r="437">
      <c r="A437" s="625"/>
      <c r="B437" s="626"/>
      <c r="C437" s="627"/>
      <c r="D437" s="628"/>
      <c r="E437" s="629"/>
      <c r="F437" s="629"/>
      <c r="G437" s="629"/>
      <c r="H437" s="629"/>
      <c r="I437" s="630"/>
      <c r="J437" s="631"/>
      <c r="K437" s="632"/>
      <c r="L437" s="632"/>
      <c r="M437" s="633"/>
      <c r="N437" s="625"/>
      <c r="O437" s="634"/>
      <c r="P437" s="632"/>
      <c r="Q437" s="632"/>
      <c r="R437" s="633"/>
      <c r="S437" s="634"/>
      <c r="T437" s="635"/>
      <c r="U437" s="636"/>
      <c r="V437" s="637"/>
      <c r="W437" s="637"/>
    </row>
    <row r="438">
      <c r="A438" s="625"/>
      <c r="B438" s="626"/>
      <c r="C438" s="627"/>
      <c r="D438" s="628"/>
      <c r="E438" s="629"/>
      <c r="F438" s="629"/>
      <c r="G438" s="629"/>
      <c r="H438" s="629"/>
      <c r="I438" s="630"/>
      <c r="J438" s="631"/>
      <c r="K438" s="632"/>
      <c r="L438" s="632"/>
      <c r="M438" s="633"/>
      <c r="N438" s="625"/>
      <c r="O438" s="634"/>
      <c r="P438" s="632"/>
      <c r="Q438" s="632"/>
      <c r="R438" s="633"/>
      <c r="S438" s="634"/>
      <c r="T438" s="635"/>
      <c r="U438" s="636"/>
      <c r="V438" s="637"/>
      <c r="W438" s="637"/>
    </row>
    <row r="439">
      <c r="A439" s="625"/>
      <c r="B439" s="626"/>
      <c r="C439" s="627"/>
      <c r="D439" s="628"/>
      <c r="E439" s="629"/>
      <c r="F439" s="629"/>
      <c r="G439" s="629"/>
      <c r="H439" s="629"/>
      <c r="I439" s="630"/>
      <c r="J439" s="631"/>
      <c r="K439" s="632"/>
      <c r="L439" s="632"/>
      <c r="M439" s="633"/>
      <c r="N439" s="625"/>
      <c r="O439" s="634"/>
      <c r="P439" s="632"/>
      <c r="Q439" s="632"/>
      <c r="R439" s="633"/>
      <c r="S439" s="634"/>
      <c r="T439" s="635"/>
      <c r="U439" s="636"/>
      <c r="V439" s="637"/>
      <c r="W439" s="637"/>
    </row>
    <row r="440">
      <c r="A440" s="625"/>
      <c r="B440" s="626"/>
      <c r="C440" s="627"/>
      <c r="D440" s="628"/>
      <c r="E440" s="629"/>
      <c r="F440" s="629"/>
      <c r="G440" s="629"/>
      <c r="H440" s="629"/>
      <c r="I440" s="630"/>
      <c r="J440" s="631"/>
      <c r="K440" s="632"/>
      <c r="L440" s="632"/>
      <c r="M440" s="633"/>
      <c r="N440" s="625"/>
      <c r="O440" s="634"/>
      <c r="P440" s="632"/>
      <c r="Q440" s="632"/>
      <c r="R440" s="633"/>
      <c r="S440" s="634"/>
      <c r="T440" s="635"/>
      <c r="U440" s="636"/>
      <c r="V440" s="637"/>
      <c r="W440" s="637"/>
    </row>
    <row r="441">
      <c r="A441" s="625"/>
      <c r="B441" s="626"/>
      <c r="C441" s="627"/>
      <c r="D441" s="628"/>
      <c r="E441" s="629"/>
      <c r="F441" s="629"/>
      <c r="G441" s="629"/>
      <c r="H441" s="629"/>
      <c r="I441" s="630"/>
      <c r="J441" s="631"/>
      <c r="K441" s="632"/>
      <c r="L441" s="632"/>
      <c r="M441" s="633"/>
      <c r="N441" s="625"/>
      <c r="O441" s="634"/>
      <c r="P441" s="632"/>
      <c r="Q441" s="632"/>
      <c r="R441" s="633"/>
      <c r="S441" s="634"/>
      <c r="T441" s="635"/>
      <c r="U441" s="636"/>
      <c r="V441" s="637"/>
      <c r="W441" s="637"/>
    </row>
    <row r="442">
      <c r="A442" s="625"/>
      <c r="B442" s="626"/>
      <c r="C442" s="627"/>
      <c r="D442" s="628"/>
      <c r="E442" s="629"/>
      <c r="F442" s="629"/>
      <c r="G442" s="629"/>
      <c r="H442" s="629"/>
      <c r="I442" s="630"/>
      <c r="J442" s="631"/>
      <c r="K442" s="632"/>
      <c r="L442" s="632"/>
      <c r="M442" s="633"/>
      <c r="N442" s="625"/>
      <c r="O442" s="634"/>
      <c r="P442" s="632"/>
      <c r="Q442" s="632"/>
      <c r="R442" s="633"/>
      <c r="S442" s="634"/>
      <c r="T442" s="635"/>
      <c r="U442" s="636"/>
      <c r="V442" s="637"/>
      <c r="W442" s="637"/>
    </row>
    <row r="443">
      <c r="A443" s="625"/>
      <c r="B443" s="626"/>
      <c r="C443" s="627"/>
      <c r="D443" s="628"/>
      <c r="E443" s="629"/>
      <c r="F443" s="629"/>
      <c r="G443" s="629"/>
      <c r="H443" s="629"/>
      <c r="I443" s="630"/>
      <c r="J443" s="631"/>
      <c r="K443" s="632"/>
      <c r="L443" s="632"/>
      <c r="M443" s="633"/>
      <c r="N443" s="625"/>
      <c r="O443" s="634"/>
      <c r="P443" s="632"/>
      <c r="Q443" s="632"/>
      <c r="R443" s="633"/>
      <c r="S443" s="634"/>
      <c r="T443" s="635"/>
      <c r="U443" s="636"/>
      <c r="V443" s="637"/>
      <c r="W443" s="637"/>
    </row>
    <row r="444">
      <c r="A444" s="625"/>
      <c r="B444" s="626"/>
      <c r="C444" s="627"/>
      <c r="D444" s="628"/>
      <c r="E444" s="629"/>
      <c r="F444" s="629"/>
      <c r="G444" s="629"/>
      <c r="H444" s="629"/>
      <c r="I444" s="630"/>
      <c r="J444" s="631"/>
      <c r="K444" s="632"/>
      <c r="L444" s="632"/>
      <c r="M444" s="633"/>
      <c r="N444" s="625"/>
      <c r="O444" s="634"/>
      <c r="P444" s="632"/>
      <c r="Q444" s="632"/>
      <c r="R444" s="633"/>
      <c r="S444" s="634"/>
      <c r="T444" s="635"/>
      <c r="U444" s="636"/>
      <c r="V444" s="637"/>
      <c r="W444" s="637"/>
    </row>
    <row r="445">
      <c r="A445" s="625"/>
      <c r="B445" s="626"/>
      <c r="C445" s="627"/>
      <c r="D445" s="628"/>
      <c r="E445" s="629"/>
      <c r="F445" s="629"/>
      <c r="G445" s="629"/>
      <c r="H445" s="629"/>
      <c r="I445" s="630"/>
      <c r="J445" s="631"/>
      <c r="K445" s="632"/>
      <c r="L445" s="632"/>
      <c r="M445" s="633"/>
      <c r="N445" s="625"/>
      <c r="O445" s="634"/>
      <c r="P445" s="632"/>
      <c r="Q445" s="632"/>
      <c r="R445" s="633"/>
      <c r="S445" s="634"/>
      <c r="T445" s="635"/>
      <c r="U445" s="636"/>
      <c r="V445" s="637"/>
      <c r="W445" s="637"/>
    </row>
    <row r="446">
      <c r="A446" s="625"/>
      <c r="B446" s="626"/>
      <c r="C446" s="627"/>
      <c r="D446" s="628"/>
      <c r="E446" s="629"/>
      <c r="F446" s="629"/>
      <c r="G446" s="629"/>
      <c r="H446" s="629"/>
      <c r="I446" s="630"/>
      <c r="J446" s="631"/>
      <c r="K446" s="632"/>
      <c r="L446" s="632"/>
      <c r="M446" s="633"/>
      <c r="N446" s="625"/>
      <c r="O446" s="634"/>
      <c r="P446" s="632"/>
      <c r="Q446" s="632"/>
      <c r="R446" s="633"/>
      <c r="S446" s="634"/>
      <c r="T446" s="635"/>
      <c r="U446" s="636"/>
      <c r="V446" s="637"/>
      <c r="W446" s="637"/>
    </row>
    <row r="447">
      <c r="A447" s="625"/>
      <c r="B447" s="626"/>
      <c r="C447" s="627"/>
      <c r="D447" s="628"/>
      <c r="E447" s="629"/>
      <c r="F447" s="629"/>
      <c r="G447" s="629"/>
      <c r="H447" s="629"/>
      <c r="I447" s="630"/>
      <c r="J447" s="631"/>
      <c r="K447" s="632"/>
      <c r="L447" s="632"/>
      <c r="M447" s="633"/>
      <c r="N447" s="625"/>
      <c r="O447" s="634"/>
      <c r="P447" s="632"/>
      <c r="Q447" s="632"/>
      <c r="R447" s="633"/>
      <c r="S447" s="634"/>
      <c r="T447" s="635"/>
      <c r="U447" s="636"/>
      <c r="V447" s="637"/>
      <c r="W447" s="637"/>
    </row>
    <row r="448">
      <c r="A448" s="625"/>
      <c r="B448" s="626"/>
      <c r="C448" s="627"/>
      <c r="D448" s="628"/>
      <c r="E448" s="629"/>
      <c r="F448" s="629"/>
      <c r="G448" s="629"/>
      <c r="H448" s="629"/>
      <c r="I448" s="630"/>
      <c r="J448" s="631"/>
      <c r="K448" s="632"/>
      <c r="L448" s="632"/>
      <c r="M448" s="633"/>
      <c r="N448" s="625"/>
      <c r="O448" s="634"/>
      <c r="P448" s="632"/>
      <c r="Q448" s="632"/>
      <c r="R448" s="633"/>
      <c r="S448" s="634"/>
      <c r="T448" s="635"/>
      <c r="U448" s="636"/>
      <c r="V448" s="637"/>
      <c r="W448" s="637"/>
    </row>
    <row r="449">
      <c r="A449" s="625"/>
      <c r="B449" s="626"/>
      <c r="C449" s="627"/>
      <c r="D449" s="628"/>
      <c r="E449" s="629"/>
      <c r="F449" s="629"/>
      <c r="G449" s="629"/>
      <c r="H449" s="629"/>
      <c r="I449" s="630"/>
      <c r="J449" s="631"/>
      <c r="K449" s="632"/>
      <c r="L449" s="632"/>
      <c r="M449" s="633"/>
      <c r="N449" s="625"/>
      <c r="O449" s="634"/>
      <c r="P449" s="632"/>
      <c r="Q449" s="632"/>
      <c r="R449" s="633"/>
      <c r="S449" s="634"/>
      <c r="T449" s="635"/>
      <c r="U449" s="636"/>
      <c r="V449" s="637"/>
      <c r="W449" s="637"/>
    </row>
    <row r="450">
      <c r="A450" s="625"/>
      <c r="B450" s="626"/>
      <c r="C450" s="627"/>
      <c r="D450" s="628"/>
      <c r="E450" s="629"/>
      <c r="F450" s="629"/>
      <c r="G450" s="629"/>
      <c r="H450" s="629"/>
      <c r="I450" s="630"/>
      <c r="J450" s="631"/>
      <c r="K450" s="632"/>
      <c r="L450" s="632"/>
      <c r="M450" s="633"/>
      <c r="N450" s="625"/>
      <c r="O450" s="634"/>
      <c r="P450" s="632"/>
      <c r="Q450" s="632"/>
      <c r="R450" s="633"/>
      <c r="S450" s="634"/>
      <c r="T450" s="635"/>
      <c r="U450" s="636"/>
      <c r="V450" s="637"/>
      <c r="W450" s="637"/>
    </row>
    <row r="451">
      <c r="A451" s="625"/>
      <c r="B451" s="626"/>
      <c r="C451" s="627"/>
      <c r="D451" s="628"/>
      <c r="E451" s="629"/>
      <c r="F451" s="629"/>
      <c r="G451" s="629"/>
      <c r="H451" s="629"/>
      <c r="I451" s="630"/>
      <c r="J451" s="631"/>
      <c r="K451" s="632"/>
      <c r="L451" s="632"/>
      <c r="M451" s="633"/>
      <c r="N451" s="625"/>
      <c r="O451" s="634"/>
      <c r="P451" s="632"/>
      <c r="Q451" s="632"/>
      <c r="R451" s="633"/>
      <c r="S451" s="634"/>
      <c r="T451" s="635"/>
      <c r="U451" s="636"/>
      <c r="V451" s="637"/>
      <c r="W451" s="637"/>
    </row>
    <row r="452">
      <c r="A452" s="625"/>
      <c r="B452" s="626"/>
      <c r="C452" s="627"/>
      <c r="D452" s="628"/>
      <c r="E452" s="629"/>
      <c r="F452" s="629"/>
      <c r="G452" s="629"/>
      <c r="H452" s="629"/>
      <c r="I452" s="630"/>
      <c r="J452" s="631"/>
      <c r="K452" s="632"/>
      <c r="L452" s="632"/>
      <c r="M452" s="633"/>
      <c r="N452" s="625"/>
      <c r="O452" s="634"/>
      <c r="P452" s="632"/>
      <c r="Q452" s="632"/>
      <c r="R452" s="633"/>
      <c r="S452" s="634"/>
      <c r="T452" s="635"/>
      <c r="U452" s="636"/>
      <c r="V452" s="637"/>
      <c r="W452" s="637"/>
    </row>
    <row r="453">
      <c r="A453" s="625"/>
      <c r="B453" s="626"/>
      <c r="C453" s="627"/>
      <c r="D453" s="628"/>
      <c r="E453" s="629"/>
      <c r="F453" s="629"/>
      <c r="G453" s="629"/>
      <c r="H453" s="629"/>
      <c r="I453" s="630"/>
      <c r="J453" s="631"/>
      <c r="K453" s="632"/>
      <c r="L453" s="632"/>
      <c r="M453" s="633"/>
      <c r="N453" s="625"/>
      <c r="O453" s="634"/>
      <c r="P453" s="632"/>
      <c r="Q453" s="632"/>
      <c r="R453" s="633"/>
      <c r="S453" s="634"/>
      <c r="T453" s="635"/>
      <c r="U453" s="636"/>
      <c r="V453" s="637"/>
      <c r="W453" s="637"/>
    </row>
    <row r="454">
      <c r="A454" s="625"/>
      <c r="B454" s="626"/>
      <c r="C454" s="627"/>
      <c r="D454" s="628"/>
      <c r="E454" s="629"/>
      <c r="F454" s="629"/>
      <c r="G454" s="629"/>
      <c r="H454" s="629"/>
      <c r="I454" s="630"/>
      <c r="J454" s="631"/>
      <c r="K454" s="632"/>
      <c r="L454" s="632"/>
      <c r="M454" s="633"/>
      <c r="N454" s="625"/>
      <c r="O454" s="634"/>
      <c r="P454" s="632"/>
      <c r="Q454" s="632"/>
      <c r="R454" s="633"/>
      <c r="S454" s="634"/>
      <c r="T454" s="635"/>
      <c r="U454" s="636"/>
      <c r="V454" s="637"/>
      <c r="W454" s="637"/>
    </row>
    <row r="455">
      <c r="A455" s="625"/>
      <c r="B455" s="626"/>
      <c r="C455" s="627"/>
      <c r="D455" s="628"/>
      <c r="E455" s="629"/>
      <c r="F455" s="629"/>
      <c r="G455" s="629"/>
      <c r="H455" s="629"/>
      <c r="I455" s="630"/>
      <c r="J455" s="631"/>
      <c r="K455" s="632"/>
      <c r="L455" s="632"/>
      <c r="M455" s="633"/>
      <c r="N455" s="625"/>
      <c r="O455" s="634"/>
      <c r="P455" s="632"/>
      <c r="Q455" s="632"/>
      <c r="R455" s="633"/>
      <c r="S455" s="634"/>
      <c r="T455" s="635"/>
      <c r="U455" s="636"/>
      <c r="V455" s="637"/>
      <c r="W455" s="637"/>
    </row>
    <row r="456">
      <c r="A456" s="625"/>
      <c r="B456" s="626"/>
      <c r="C456" s="627"/>
      <c r="D456" s="628"/>
      <c r="E456" s="629"/>
      <c r="F456" s="629"/>
      <c r="G456" s="629"/>
      <c r="H456" s="629"/>
      <c r="I456" s="630"/>
      <c r="J456" s="631"/>
      <c r="K456" s="632"/>
      <c r="L456" s="632"/>
      <c r="M456" s="633"/>
      <c r="N456" s="625"/>
      <c r="O456" s="634"/>
      <c r="P456" s="632"/>
      <c r="Q456" s="632"/>
      <c r="R456" s="633"/>
      <c r="S456" s="634"/>
      <c r="T456" s="635"/>
      <c r="U456" s="636"/>
      <c r="V456" s="637"/>
      <c r="W456" s="637"/>
    </row>
    <row r="457">
      <c r="A457" s="625"/>
      <c r="B457" s="626"/>
      <c r="C457" s="627"/>
      <c r="D457" s="628"/>
      <c r="E457" s="629"/>
      <c r="F457" s="629"/>
      <c r="G457" s="629"/>
      <c r="H457" s="629"/>
      <c r="I457" s="630"/>
      <c r="J457" s="631"/>
      <c r="K457" s="632"/>
      <c r="L457" s="632"/>
      <c r="M457" s="633"/>
      <c r="N457" s="625"/>
      <c r="O457" s="634"/>
      <c r="P457" s="632"/>
      <c r="Q457" s="632"/>
      <c r="R457" s="633"/>
      <c r="S457" s="634"/>
      <c r="T457" s="635"/>
      <c r="U457" s="636"/>
      <c r="V457" s="637"/>
      <c r="W457" s="637"/>
    </row>
    <row r="458">
      <c r="A458" s="625"/>
      <c r="B458" s="626"/>
      <c r="C458" s="627"/>
      <c r="D458" s="628"/>
      <c r="E458" s="629"/>
      <c r="F458" s="629"/>
      <c r="G458" s="629"/>
      <c r="H458" s="629"/>
      <c r="I458" s="630"/>
      <c r="J458" s="631"/>
      <c r="K458" s="632"/>
      <c r="L458" s="632"/>
      <c r="M458" s="633"/>
      <c r="N458" s="625"/>
      <c r="O458" s="634"/>
      <c r="P458" s="632"/>
      <c r="Q458" s="632"/>
      <c r="R458" s="633"/>
      <c r="S458" s="634"/>
      <c r="T458" s="635"/>
      <c r="U458" s="636"/>
      <c r="V458" s="637"/>
      <c r="W458" s="637"/>
    </row>
    <row r="459">
      <c r="A459" s="625"/>
      <c r="B459" s="626"/>
      <c r="C459" s="627"/>
      <c r="D459" s="628"/>
      <c r="E459" s="629"/>
      <c r="F459" s="629"/>
      <c r="G459" s="629"/>
      <c r="H459" s="629"/>
      <c r="I459" s="630"/>
      <c r="J459" s="631"/>
      <c r="K459" s="632"/>
      <c r="L459" s="632"/>
      <c r="M459" s="633"/>
      <c r="N459" s="625"/>
      <c r="O459" s="634"/>
      <c r="P459" s="632"/>
      <c r="Q459" s="632"/>
      <c r="R459" s="633"/>
      <c r="S459" s="634"/>
      <c r="T459" s="635"/>
      <c r="U459" s="636"/>
      <c r="V459" s="637"/>
      <c r="W459" s="637"/>
    </row>
    <row r="460">
      <c r="A460" s="625"/>
      <c r="B460" s="626"/>
      <c r="C460" s="627"/>
      <c r="D460" s="628"/>
      <c r="E460" s="629"/>
      <c r="F460" s="629"/>
      <c r="G460" s="629"/>
      <c r="H460" s="629"/>
      <c r="I460" s="630"/>
      <c r="J460" s="631"/>
      <c r="K460" s="632"/>
      <c r="L460" s="632"/>
      <c r="M460" s="633"/>
      <c r="N460" s="625"/>
      <c r="O460" s="634"/>
      <c r="P460" s="632"/>
      <c r="Q460" s="632"/>
      <c r="R460" s="633"/>
      <c r="S460" s="634"/>
      <c r="T460" s="635"/>
      <c r="U460" s="636"/>
      <c r="V460" s="637"/>
      <c r="W460" s="637"/>
    </row>
    <row r="461">
      <c r="A461" s="625"/>
      <c r="B461" s="626"/>
      <c r="C461" s="627"/>
      <c r="D461" s="628"/>
      <c r="E461" s="629"/>
      <c r="F461" s="629"/>
      <c r="G461" s="629"/>
      <c r="H461" s="629"/>
      <c r="I461" s="630"/>
      <c r="J461" s="631"/>
      <c r="K461" s="632"/>
      <c r="L461" s="632"/>
      <c r="M461" s="633"/>
      <c r="N461" s="625"/>
      <c r="O461" s="634"/>
      <c r="P461" s="632"/>
      <c r="Q461" s="632"/>
      <c r="R461" s="633"/>
      <c r="S461" s="634"/>
      <c r="T461" s="635"/>
      <c r="U461" s="636"/>
      <c r="V461" s="637"/>
      <c r="W461" s="637"/>
    </row>
    <row r="462">
      <c r="A462" s="625"/>
      <c r="B462" s="626"/>
      <c r="C462" s="627"/>
      <c r="D462" s="628"/>
      <c r="E462" s="629"/>
      <c r="F462" s="629"/>
      <c r="G462" s="629"/>
      <c r="H462" s="629"/>
      <c r="I462" s="630"/>
      <c r="J462" s="631"/>
      <c r="K462" s="632"/>
      <c r="L462" s="632"/>
      <c r="M462" s="633"/>
      <c r="N462" s="625"/>
      <c r="O462" s="634"/>
      <c r="P462" s="632"/>
      <c r="Q462" s="632"/>
      <c r="R462" s="633"/>
      <c r="S462" s="634"/>
      <c r="T462" s="635"/>
      <c r="U462" s="636"/>
      <c r="V462" s="637"/>
      <c r="W462" s="637"/>
    </row>
    <row r="463">
      <c r="A463" s="625"/>
      <c r="B463" s="626"/>
      <c r="C463" s="627"/>
      <c r="D463" s="628"/>
      <c r="E463" s="629"/>
      <c r="F463" s="629"/>
      <c r="G463" s="629"/>
      <c r="H463" s="629"/>
      <c r="I463" s="630"/>
      <c r="J463" s="631"/>
      <c r="K463" s="632"/>
      <c r="L463" s="632"/>
      <c r="M463" s="633"/>
      <c r="N463" s="625"/>
      <c r="O463" s="634"/>
      <c r="P463" s="632"/>
      <c r="Q463" s="632"/>
      <c r="R463" s="633"/>
      <c r="S463" s="634"/>
      <c r="T463" s="635"/>
      <c r="U463" s="636"/>
      <c r="V463" s="637"/>
      <c r="W463" s="637"/>
    </row>
    <row r="464">
      <c r="A464" s="625"/>
      <c r="B464" s="626"/>
      <c r="C464" s="627"/>
      <c r="D464" s="628"/>
      <c r="E464" s="629"/>
      <c r="F464" s="629"/>
      <c r="G464" s="629"/>
      <c r="H464" s="629"/>
      <c r="I464" s="630"/>
      <c r="J464" s="631"/>
      <c r="K464" s="632"/>
      <c r="L464" s="632"/>
      <c r="M464" s="633"/>
      <c r="N464" s="625"/>
      <c r="O464" s="634"/>
      <c r="P464" s="632"/>
      <c r="Q464" s="632"/>
      <c r="R464" s="633"/>
      <c r="S464" s="634"/>
      <c r="T464" s="635"/>
      <c r="U464" s="636"/>
      <c r="V464" s="637"/>
      <c r="W464" s="637"/>
    </row>
    <row r="465">
      <c r="A465" s="625"/>
      <c r="B465" s="626"/>
      <c r="C465" s="627"/>
      <c r="D465" s="628"/>
      <c r="E465" s="629"/>
      <c r="F465" s="629"/>
      <c r="G465" s="629"/>
      <c r="H465" s="629"/>
      <c r="I465" s="630"/>
      <c r="J465" s="631"/>
      <c r="K465" s="632"/>
      <c r="L465" s="632"/>
      <c r="M465" s="633"/>
      <c r="N465" s="625"/>
      <c r="O465" s="634"/>
      <c r="P465" s="632"/>
      <c r="Q465" s="632"/>
      <c r="R465" s="633"/>
      <c r="S465" s="634"/>
      <c r="T465" s="635"/>
      <c r="U465" s="636"/>
      <c r="V465" s="637"/>
      <c r="W465" s="637"/>
    </row>
    <row r="466">
      <c r="A466" s="625"/>
      <c r="B466" s="626"/>
      <c r="C466" s="627"/>
      <c r="D466" s="628"/>
      <c r="E466" s="629"/>
      <c r="F466" s="629"/>
      <c r="G466" s="629"/>
      <c r="H466" s="629"/>
      <c r="I466" s="630"/>
      <c r="J466" s="631"/>
      <c r="K466" s="632"/>
      <c r="L466" s="632"/>
      <c r="M466" s="633"/>
      <c r="N466" s="625"/>
      <c r="O466" s="634"/>
      <c r="P466" s="632"/>
      <c r="Q466" s="632"/>
      <c r="R466" s="633"/>
      <c r="S466" s="634"/>
      <c r="T466" s="635"/>
      <c r="U466" s="636"/>
      <c r="V466" s="637"/>
      <c r="W466" s="637"/>
    </row>
    <row r="467">
      <c r="A467" s="625"/>
      <c r="B467" s="626"/>
      <c r="C467" s="627"/>
      <c r="D467" s="628"/>
      <c r="E467" s="629"/>
      <c r="F467" s="629"/>
      <c r="G467" s="629"/>
      <c r="H467" s="629"/>
      <c r="I467" s="630"/>
      <c r="J467" s="631"/>
      <c r="K467" s="632"/>
      <c r="L467" s="632"/>
      <c r="M467" s="633"/>
      <c r="N467" s="625"/>
      <c r="O467" s="634"/>
      <c r="P467" s="632"/>
      <c r="Q467" s="632"/>
      <c r="R467" s="633"/>
      <c r="S467" s="634"/>
      <c r="T467" s="635"/>
      <c r="U467" s="636"/>
      <c r="V467" s="637"/>
      <c r="W467" s="637"/>
    </row>
    <row r="468">
      <c r="A468" s="625"/>
      <c r="B468" s="626"/>
      <c r="C468" s="627"/>
      <c r="D468" s="628"/>
      <c r="E468" s="629"/>
      <c r="F468" s="629"/>
      <c r="G468" s="629"/>
      <c r="H468" s="629"/>
      <c r="I468" s="630"/>
      <c r="J468" s="631"/>
      <c r="K468" s="632"/>
      <c r="L468" s="632"/>
      <c r="M468" s="633"/>
      <c r="N468" s="625"/>
      <c r="O468" s="634"/>
      <c r="P468" s="632"/>
      <c r="Q468" s="632"/>
      <c r="R468" s="633"/>
      <c r="S468" s="634"/>
      <c r="T468" s="635"/>
      <c r="U468" s="636"/>
      <c r="V468" s="637"/>
      <c r="W468" s="637"/>
    </row>
    <row r="469">
      <c r="A469" s="625"/>
      <c r="B469" s="626"/>
      <c r="C469" s="627"/>
      <c r="D469" s="628"/>
      <c r="E469" s="629"/>
      <c r="F469" s="629"/>
      <c r="G469" s="629"/>
      <c r="H469" s="629"/>
      <c r="I469" s="630"/>
      <c r="J469" s="631"/>
      <c r="K469" s="632"/>
      <c r="L469" s="632"/>
      <c r="M469" s="633"/>
      <c r="N469" s="625"/>
      <c r="O469" s="634"/>
      <c r="P469" s="632"/>
      <c r="Q469" s="632"/>
      <c r="R469" s="633"/>
      <c r="S469" s="634"/>
      <c r="T469" s="635"/>
      <c r="U469" s="636"/>
      <c r="V469" s="637"/>
      <c r="W469" s="637"/>
    </row>
    <row r="470">
      <c r="A470" s="625"/>
      <c r="B470" s="626"/>
      <c r="C470" s="627"/>
      <c r="D470" s="628"/>
      <c r="E470" s="629"/>
      <c r="F470" s="629"/>
      <c r="G470" s="629"/>
      <c r="H470" s="629"/>
      <c r="I470" s="630"/>
      <c r="J470" s="631"/>
      <c r="K470" s="632"/>
      <c r="L470" s="632"/>
      <c r="M470" s="633"/>
      <c r="N470" s="625"/>
      <c r="O470" s="634"/>
      <c r="P470" s="632"/>
      <c r="Q470" s="632"/>
      <c r="R470" s="633"/>
      <c r="S470" s="634"/>
      <c r="T470" s="635"/>
      <c r="U470" s="636"/>
      <c r="V470" s="637"/>
      <c r="W470" s="637"/>
    </row>
    <row r="471">
      <c r="A471" s="625"/>
      <c r="B471" s="626"/>
      <c r="C471" s="627"/>
      <c r="D471" s="628"/>
      <c r="E471" s="629"/>
      <c r="F471" s="629"/>
      <c r="G471" s="629"/>
      <c r="H471" s="629"/>
      <c r="I471" s="630"/>
      <c r="J471" s="631"/>
      <c r="K471" s="632"/>
      <c r="L471" s="632"/>
      <c r="M471" s="633"/>
      <c r="N471" s="625"/>
      <c r="O471" s="634"/>
      <c r="P471" s="632"/>
      <c r="Q471" s="632"/>
      <c r="R471" s="633"/>
      <c r="S471" s="634"/>
      <c r="T471" s="635"/>
      <c r="U471" s="636"/>
      <c r="V471" s="637"/>
      <c r="W471" s="637"/>
    </row>
    <row r="472">
      <c r="A472" s="625"/>
      <c r="B472" s="626"/>
      <c r="C472" s="627"/>
      <c r="D472" s="628"/>
      <c r="E472" s="629"/>
      <c r="F472" s="629"/>
      <c r="G472" s="629"/>
      <c r="H472" s="629"/>
      <c r="I472" s="630"/>
      <c r="J472" s="631"/>
      <c r="K472" s="632"/>
      <c r="L472" s="632"/>
      <c r="M472" s="633"/>
      <c r="N472" s="625"/>
      <c r="O472" s="634"/>
      <c r="P472" s="632"/>
      <c r="Q472" s="632"/>
      <c r="R472" s="633"/>
      <c r="S472" s="634"/>
      <c r="T472" s="635"/>
      <c r="U472" s="636"/>
      <c r="V472" s="637"/>
      <c r="W472" s="637"/>
    </row>
    <row r="473">
      <c r="A473" s="625"/>
      <c r="B473" s="626"/>
      <c r="C473" s="627"/>
      <c r="D473" s="628"/>
      <c r="E473" s="629"/>
      <c r="F473" s="629"/>
      <c r="G473" s="629"/>
      <c r="H473" s="629"/>
      <c r="I473" s="630"/>
      <c r="J473" s="631"/>
      <c r="K473" s="632"/>
      <c r="L473" s="632"/>
      <c r="M473" s="633"/>
      <c r="N473" s="625"/>
      <c r="O473" s="634"/>
      <c r="P473" s="632"/>
      <c r="Q473" s="632"/>
      <c r="R473" s="633"/>
      <c r="S473" s="634"/>
      <c r="T473" s="635"/>
      <c r="U473" s="636"/>
      <c r="V473" s="637"/>
      <c r="W473" s="637"/>
    </row>
    <row r="474">
      <c r="A474" s="625"/>
      <c r="B474" s="626"/>
      <c r="C474" s="627"/>
      <c r="D474" s="628"/>
      <c r="E474" s="629"/>
      <c r="F474" s="629"/>
      <c r="G474" s="629"/>
      <c r="H474" s="629"/>
      <c r="I474" s="630"/>
      <c r="J474" s="631"/>
      <c r="K474" s="632"/>
      <c r="L474" s="632"/>
      <c r="M474" s="633"/>
      <c r="N474" s="625"/>
      <c r="O474" s="634"/>
      <c r="P474" s="632"/>
      <c r="Q474" s="632"/>
      <c r="R474" s="633"/>
      <c r="S474" s="634"/>
      <c r="T474" s="635"/>
      <c r="U474" s="636"/>
      <c r="V474" s="637"/>
      <c r="W474" s="637"/>
    </row>
    <row r="475">
      <c r="A475" s="625"/>
      <c r="B475" s="626"/>
      <c r="C475" s="627"/>
      <c r="D475" s="628"/>
      <c r="E475" s="629"/>
      <c r="F475" s="629"/>
      <c r="G475" s="629"/>
      <c r="H475" s="629"/>
      <c r="I475" s="630"/>
      <c r="J475" s="631"/>
      <c r="K475" s="632"/>
      <c r="L475" s="632"/>
      <c r="M475" s="633"/>
      <c r="N475" s="625"/>
      <c r="O475" s="634"/>
      <c r="P475" s="632"/>
      <c r="Q475" s="632"/>
      <c r="R475" s="633"/>
      <c r="S475" s="634"/>
      <c r="T475" s="635"/>
      <c r="U475" s="636"/>
      <c r="V475" s="637"/>
      <c r="W475" s="637"/>
    </row>
    <row r="476">
      <c r="A476" s="625"/>
      <c r="B476" s="626"/>
      <c r="C476" s="627"/>
      <c r="D476" s="628"/>
      <c r="E476" s="629"/>
      <c r="F476" s="629"/>
      <c r="G476" s="629"/>
      <c r="H476" s="629"/>
      <c r="I476" s="630"/>
      <c r="J476" s="631"/>
      <c r="K476" s="632"/>
      <c r="L476" s="632"/>
      <c r="M476" s="633"/>
      <c r="N476" s="625"/>
      <c r="O476" s="634"/>
      <c r="P476" s="632"/>
      <c r="Q476" s="632"/>
      <c r="R476" s="633"/>
      <c r="S476" s="634"/>
      <c r="T476" s="635"/>
      <c r="U476" s="636"/>
      <c r="V476" s="637"/>
      <c r="W476" s="637"/>
    </row>
    <row r="477">
      <c r="A477" s="625"/>
      <c r="B477" s="626"/>
      <c r="C477" s="627"/>
      <c r="D477" s="628"/>
      <c r="E477" s="629"/>
      <c r="F477" s="629"/>
      <c r="G477" s="629"/>
      <c r="H477" s="629"/>
      <c r="I477" s="630"/>
      <c r="J477" s="631"/>
      <c r="K477" s="632"/>
      <c r="L477" s="632"/>
      <c r="M477" s="633"/>
      <c r="N477" s="625"/>
      <c r="O477" s="634"/>
      <c r="P477" s="632"/>
      <c r="Q477" s="632"/>
      <c r="R477" s="633"/>
      <c r="S477" s="634"/>
      <c r="T477" s="635"/>
      <c r="U477" s="636"/>
      <c r="V477" s="637"/>
      <c r="W477" s="637"/>
    </row>
    <row r="478">
      <c r="A478" s="625"/>
      <c r="B478" s="626"/>
      <c r="C478" s="627"/>
      <c r="D478" s="628"/>
      <c r="E478" s="629"/>
      <c r="F478" s="629"/>
      <c r="G478" s="629"/>
      <c r="H478" s="629"/>
      <c r="I478" s="630"/>
      <c r="J478" s="631"/>
      <c r="K478" s="632"/>
      <c r="L478" s="632"/>
      <c r="M478" s="633"/>
      <c r="N478" s="625"/>
      <c r="O478" s="634"/>
      <c r="P478" s="632"/>
      <c r="Q478" s="632"/>
      <c r="R478" s="633"/>
      <c r="S478" s="634"/>
      <c r="T478" s="635"/>
      <c r="U478" s="636"/>
      <c r="V478" s="637"/>
      <c r="W478" s="637"/>
    </row>
    <row r="479">
      <c r="A479" s="625"/>
      <c r="B479" s="626"/>
      <c r="C479" s="627"/>
      <c r="D479" s="628"/>
      <c r="E479" s="629"/>
      <c r="F479" s="629"/>
      <c r="G479" s="629"/>
      <c r="H479" s="629"/>
      <c r="I479" s="630"/>
      <c r="J479" s="631"/>
      <c r="K479" s="632"/>
      <c r="L479" s="632"/>
      <c r="M479" s="633"/>
      <c r="N479" s="625"/>
      <c r="O479" s="634"/>
      <c r="P479" s="632"/>
      <c r="Q479" s="632"/>
      <c r="R479" s="633"/>
      <c r="S479" s="634"/>
      <c r="T479" s="635"/>
      <c r="U479" s="636"/>
      <c r="V479" s="637"/>
      <c r="W479" s="637"/>
    </row>
    <row r="480">
      <c r="A480" s="625"/>
      <c r="B480" s="626"/>
      <c r="C480" s="627"/>
      <c r="D480" s="628"/>
      <c r="E480" s="629"/>
      <c r="F480" s="629"/>
      <c r="G480" s="629"/>
      <c r="H480" s="629"/>
      <c r="I480" s="630"/>
      <c r="J480" s="631"/>
      <c r="K480" s="632"/>
      <c r="L480" s="632"/>
      <c r="M480" s="633"/>
      <c r="N480" s="625"/>
      <c r="O480" s="634"/>
      <c r="P480" s="632"/>
      <c r="Q480" s="632"/>
      <c r="R480" s="633"/>
      <c r="S480" s="634"/>
      <c r="T480" s="635"/>
      <c r="U480" s="636"/>
      <c r="V480" s="637"/>
      <c r="W480" s="637"/>
    </row>
    <row r="481">
      <c r="A481" s="625"/>
      <c r="B481" s="626"/>
      <c r="C481" s="627"/>
      <c r="D481" s="628"/>
      <c r="E481" s="629"/>
      <c r="F481" s="629"/>
      <c r="G481" s="629"/>
      <c r="H481" s="629"/>
      <c r="I481" s="630"/>
      <c r="J481" s="631"/>
      <c r="K481" s="632"/>
      <c r="L481" s="632"/>
      <c r="M481" s="633"/>
      <c r="N481" s="625"/>
      <c r="O481" s="634"/>
      <c r="P481" s="632"/>
      <c r="Q481" s="632"/>
      <c r="R481" s="633"/>
      <c r="S481" s="634"/>
      <c r="T481" s="635"/>
      <c r="U481" s="636"/>
      <c r="V481" s="637"/>
      <c r="W481" s="637"/>
    </row>
    <row r="482">
      <c r="A482" s="625"/>
      <c r="B482" s="626"/>
      <c r="C482" s="627"/>
      <c r="D482" s="628"/>
      <c r="E482" s="629"/>
      <c r="F482" s="629"/>
      <c r="G482" s="629"/>
      <c r="H482" s="629"/>
      <c r="I482" s="630"/>
      <c r="J482" s="631"/>
      <c r="K482" s="632"/>
      <c r="L482" s="632"/>
      <c r="M482" s="633"/>
      <c r="N482" s="625"/>
      <c r="O482" s="634"/>
      <c r="P482" s="632"/>
      <c r="Q482" s="632"/>
      <c r="R482" s="633"/>
      <c r="S482" s="634"/>
      <c r="T482" s="635"/>
      <c r="U482" s="636"/>
      <c r="V482" s="637"/>
      <c r="W482" s="637"/>
    </row>
    <row r="483">
      <c r="A483" s="625"/>
      <c r="B483" s="626"/>
      <c r="C483" s="627"/>
      <c r="D483" s="628"/>
      <c r="E483" s="629"/>
      <c r="F483" s="629"/>
      <c r="G483" s="629"/>
      <c r="H483" s="629"/>
      <c r="I483" s="630"/>
      <c r="J483" s="631"/>
      <c r="K483" s="632"/>
      <c r="L483" s="632"/>
      <c r="M483" s="633"/>
      <c r="N483" s="625"/>
      <c r="O483" s="634"/>
      <c r="P483" s="632"/>
      <c r="Q483" s="632"/>
      <c r="R483" s="633"/>
      <c r="S483" s="634"/>
      <c r="T483" s="635"/>
      <c r="U483" s="636"/>
      <c r="V483" s="637"/>
      <c r="W483" s="637"/>
    </row>
    <row r="484">
      <c r="A484" s="625"/>
      <c r="B484" s="626"/>
      <c r="C484" s="627"/>
      <c r="D484" s="628"/>
      <c r="E484" s="629"/>
      <c r="F484" s="629"/>
      <c r="G484" s="629"/>
      <c r="H484" s="629"/>
      <c r="I484" s="630"/>
      <c r="J484" s="631"/>
      <c r="K484" s="632"/>
      <c r="L484" s="632"/>
      <c r="M484" s="633"/>
      <c r="N484" s="625"/>
      <c r="O484" s="634"/>
      <c r="P484" s="632"/>
      <c r="Q484" s="632"/>
      <c r="R484" s="633"/>
      <c r="S484" s="634"/>
      <c r="T484" s="635"/>
      <c r="U484" s="636"/>
      <c r="V484" s="637"/>
      <c r="W484" s="637"/>
    </row>
    <row r="485">
      <c r="A485" s="625"/>
      <c r="B485" s="626"/>
      <c r="C485" s="627"/>
      <c r="D485" s="628"/>
      <c r="E485" s="629"/>
      <c r="F485" s="629"/>
      <c r="G485" s="629"/>
      <c r="H485" s="629"/>
      <c r="I485" s="630"/>
      <c r="J485" s="631"/>
      <c r="K485" s="632"/>
      <c r="L485" s="632"/>
      <c r="M485" s="633"/>
      <c r="N485" s="625"/>
      <c r="O485" s="634"/>
      <c r="P485" s="632"/>
      <c r="Q485" s="632"/>
      <c r="R485" s="633"/>
      <c r="S485" s="634"/>
      <c r="T485" s="635"/>
      <c r="U485" s="636"/>
      <c r="V485" s="637"/>
      <c r="W485" s="637"/>
    </row>
    <row r="486">
      <c r="A486" s="625"/>
      <c r="B486" s="626"/>
      <c r="C486" s="627"/>
      <c r="D486" s="628"/>
      <c r="E486" s="629"/>
      <c r="F486" s="629"/>
      <c r="G486" s="629"/>
      <c r="H486" s="629"/>
      <c r="I486" s="630"/>
      <c r="J486" s="631"/>
      <c r="K486" s="632"/>
      <c r="L486" s="632"/>
      <c r="M486" s="633"/>
      <c r="N486" s="625"/>
      <c r="O486" s="634"/>
      <c r="P486" s="632"/>
      <c r="Q486" s="632"/>
      <c r="R486" s="633"/>
      <c r="S486" s="634"/>
      <c r="T486" s="635"/>
      <c r="U486" s="636"/>
      <c r="V486" s="637"/>
      <c r="W486" s="637"/>
    </row>
    <row r="487">
      <c r="A487" s="625"/>
      <c r="B487" s="626"/>
      <c r="C487" s="627"/>
      <c r="D487" s="628"/>
      <c r="E487" s="629"/>
      <c r="F487" s="629"/>
      <c r="G487" s="629"/>
      <c r="H487" s="629"/>
      <c r="I487" s="630"/>
      <c r="J487" s="631"/>
      <c r="K487" s="632"/>
      <c r="L487" s="632"/>
      <c r="M487" s="633"/>
      <c r="N487" s="625"/>
      <c r="O487" s="634"/>
      <c r="P487" s="632"/>
      <c r="Q487" s="632"/>
      <c r="R487" s="633"/>
      <c r="S487" s="634"/>
      <c r="T487" s="635"/>
      <c r="U487" s="636"/>
      <c r="V487" s="637"/>
      <c r="W487" s="637"/>
    </row>
    <row r="488">
      <c r="A488" s="625"/>
      <c r="B488" s="626"/>
      <c r="C488" s="627"/>
      <c r="D488" s="628"/>
      <c r="E488" s="629"/>
      <c r="F488" s="629"/>
      <c r="G488" s="629"/>
      <c r="H488" s="629"/>
      <c r="I488" s="630"/>
      <c r="J488" s="631"/>
      <c r="K488" s="632"/>
      <c r="L488" s="632"/>
      <c r="M488" s="633"/>
      <c r="N488" s="625"/>
      <c r="O488" s="634"/>
      <c r="P488" s="632"/>
      <c r="Q488" s="632"/>
      <c r="R488" s="633"/>
      <c r="S488" s="634"/>
      <c r="T488" s="635"/>
      <c r="U488" s="636"/>
      <c r="V488" s="637"/>
      <c r="W488" s="637"/>
    </row>
    <row r="489">
      <c r="A489" s="625"/>
      <c r="B489" s="626"/>
      <c r="C489" s="627"/>
      <c r="D489" s="628"/>
      <c r="E489" s="629"/>
      <c r="F489" s="629"/>
      <c r="G489" s="629"/>
      <c r="H489" s="629"/>
      <c r="I489" s="630"/>
      <c r="J489" s="631"/>
      <c r="K489" s="632"/>
      <c r="L489" s="632"/>
      <c r="M489" s="633"/>
      <c r="N489" s="625"/>
      <c r="O489" s="634"/>
      <c r="P489" s="632"/>
      <c r="Q489" s="632"/>
      <c r="R489" s="633"/>
      <c r="S489" s="634"/>
      <c r="T489" s="635"/>
      <c r="U489" s="636"/>
      <c r="V489" s="637"/>
      <c r="W489" s="637"/>
    </row>
    <row r="490">
      <c r="A490" s="625"/>
      <c r="B490" s="626"/>
      <c r="C490" s="627"/>
      <c r="D490" s="628"/>
      <c r="E490" s="629"/>
      <c r="F490" s="629"/>
      <c r="G490" s="629"/>
      <c r="H490" s="629"/>
      <c r="I490" s="630"/>
      <c r="J490" s="631"/>
      <c r="K490" s="632"/>
      <c r="L490" s="632"/>
      <c r="M490" s="633"/>
      <c r="N490" s="625"/>
      <c r="O490" s="634"/>
      <c r="P490" s="632"/>
      <c r="Q490" s="632"/>
      <c r="R490" s="633"/>
      <c r="S490" s="634"/>
      <c r="T490" s="635"/>
      <c r="U490" s="636"/>
      <c r="V490" s="637"/>
      <c r="W490" s="637"/>
    </row>
    <row r="491">
      <c r="A491" s="625"/>
      <c r="B491" s="626"/>
      <c r="C491" s="627"/>
      <c r="D491" s="628"/>
      <c r="E491" s="629"/>
      <c r="F491" s="629"/>
      <c r="G491" s="629"/>
      <c r="H491" s="629"/>
      <c r="I491" s="630"/>
      <c r="J491" s="631"/>
      <c r="K491" s="632"/>
      <c r="L491" s="632"/>
      <c r="M491" s="633"/>
      <c r="N491" s="625"/>
      <c r="O491" s="634"/>
      <c r="P491" s="632"/>
      <c r="Q491" s="632"/>
      <c r="R491" s="633"/>
      <c r="S491" s="634"/>
      <c r="T491" s="635"/>
      <c r="U491" s="636"/>
      <c r="V491" s="637"/>
      <c r="W491" s="637"/>
    </row>
    <row r="492">
      <c r="A492" s="625"/>
      <c r="B492" s="626"/>
      <c r="C492" s="627"/>
      <c r="D492" s="628"/>
      <c r="E492" s="629"/>
      <c r="F492" s="629"/>
      <c r="G492" s="629"/>
      <c r="H492" s="629"/>
      <c r="I492" s="630"/>
      <c r="J492" s="631"/>
      <c r="K492" s="632"/>
      <c r="L492" s="632"/>
      <c r="M492" s="633"/>
      <c r="N492" s="625"/>
      <c r="O492" s="634"/>
      <c r="P492" s="632"/>
      <c r="Q492" s="632"/>
      <c r="R492" s="633"/>
      <c r="S492" s="634"/>
      <c r="T492" s="635"/>
      <c r="U492" s="636"/>
      <c r="V492" s="637"/>
      <c r="W492" s="637"/>
    </row>
    <row r="493">
      <c r="A493" s="625"/>
      <c r="B493" s="626"/>
      <c r="C493" s="627"/>
      <c r="D493" s="628"/>
      <c r="E493" s="629"/>
      <c r="F493" s="629"/>
      <c r="G493" s="629"/>
      <c r="H493" s="629"/>
      <c r="I493" s="630"/>
      <c r="J493" s="631"/>
      <c r="K493" s="632"/>
      <c r="L493" s="632"/>
      <c r="M493" s="633"/>
      <c r="N493" s="625"/>
      <c r="O493" s="634"/>
      <c r="P493" s="632"/>
      <c r="Q493" s="632"/>
      <c r="R493" s="633"/>
      <c r="S493" s="634"/>
      <c r="T493" s="635"/>
      <c r="U493" s="636"/>
      <c r="V493" s="637"/>
      <c r="W493" s="637"/>
    </row>
    <row r="494">
      <c r="A494" s="625"/>
      <c r="B494" s="626"/>
      <c r="C494" s="627"/>
      <c r="D494" s="628"/>
      <c r="E494" s="629"/>
      <c r="F494" s="629"/>
      <c r="G494" s="629"/>
      <c r="H494" s="629"/>
      <c r="I494" s="630"/>
      <c r="J494" s="631"/>
      <c r="K494" s="632"/>
      <c r="L494" s="632"/>
      <c r="M494" s="633"/>
      <c r="N494" s="625"/>
      <c r="O494" s="634"/>
      <c r="P494" s="632"/>
      <c r="Q494" s="632"/>
      <c r="R494" s="633"/>
      <c r="S494" s="634"/>
      <c r="T494" s="635"/>
      <c r="U494" s="636"/>
      <c r="V494" s="637"/>
      <c r="W494" s="637"/>
    </row>
    <row r="495">
      <c r="A495" s="625"/>
      <c r="B495" s="626"/>
      <c r="C495" s="627"/>
      <c r="D495" s="628"/>
      <c r="E495" s="629"/>
      <c r="F495" s="629"/>
      <c r="G495" s="629"/>
      <c r="H495" s="629"/>
      <c r="I495" s="630"/>
      <c r="J495" s="631"/>
      <c r="K495" s="632"/>
      <c r="L495" s="632"/>
      <c r="M495" s="633"/>
      <c r="N495" s="625"/>
      <c r="O495" s="634"/>
      <c r="P495" s="632"/>
      <c r="Q495" s="632"/>
      <c r="R495" s="633"/>
      <c r="S495" s="634"/>
      <c r="T495" s="635"/>
      <c r="U495" s="636"/>
      <c r="V495" s="637"/>
      <c r="W495" s="637"/>
    </row>
    <row r="496">
      <c r="A496" s="625"/>
      <c r="B496" s="626"/>
      <c r="C496" s="627"/>
      <c r="D496" s="628"/>
      <c r="E496" s="629"/>
      <c r="F496" s="629"/>
      <c r="G496" s="629"/>
      <c r="H496" s="629"/>
      <c r="I496" s="630"/>
      <c r="J496" s="631"/>
      <c r="K496" s="632"/>
      <c r="L496" s="632"/>
      <c r="M496" s="633"/>
      <c r="N496" s="625"/>
      <c r="O496" s="634"/>
      <c r="P496" s="632"/>
      <c r="Q496" s="632"/>
      <c r="R496" s="633"/>
      <c r="S496" s="634"/>
      <c r="T496" s="635"/>
      <c r="U496" s="636"/>
      <c r="V496" s="637"/>
      <c r="W496" s="637"/>
    </row>
    <row r="497">
      <c r="A497" s="625"/>
      <c r="B497" s="626"/>
      <c r="C497" s="627"/>
      <c r="D497" s="628"/>
      <c r="E497" s="629"/>
      <c r="F497" s="629"/>
      <c r="G497" s="629"/>
      <c r="H497" s="629"/>
      <c r="I497" s="630"/>
      <c r="J497" s="631"/>
      <c r="K497" s="632"/>
      <c r="L497" s="632"/>
      <c r="M497" s="633"/>
      <c r="N497" s="625"/>
      <c r="O497" s="634"/>
      <c r="P497" s="632"/>
      <c r="Q497" s="632"/>
      <c r="R497" s="633"/>
      <c r="S497" s="634"/>
      <c r="T497" s="635"/>
      <c r="U497" s="636"/>
      <c r="V497" s="637"/>
      <c r="W497" s="637"/>
    </row>
    <row r="498">
      <c r="A498" s="625"/>
      <c r="B498" s="626"/>
      <c r="C498" s="627"/>
      <c r="D498" s="628"/>
      <c r="E498" s="629"/>
      <c r="F498" s="629"/>
      <c r="G498" s="629"/>
      <c r="H498" s="629"/>
      <c r="I498" s="630"/>
      <c r="J498" s="631"/>
      <c r="K498" s="632"/>
      <c r="L498" s="632"/>
      <c r="M498" s="633"/>
      <c r="N498" s="625"/>
      <c r="O498" s="634"/>
      <c r="P498" s="632"/>
      <c r="Q498" s="632"/>
      <c r="R498" s="633"/>
      <c r="S498" s="634"/>
      <c r="T498" s="635"/>
      <c r="U498" s="636"/>
      <c r="V498" s="637"/>
      <c r="W498" s="637"/>
    </row>
    <row r="499">
      <c r="A499" s="625"/>
      <c r="B499" s="626"/>
      <c r="C499" s="627"/>
      <c r="D499" s="628"/>
      <c r="E499" s="629"/>
      <c r="F499" s="629"/>
      <c r="G499" s="629"/>
      <c r="H499" s="629"/>
      <c r="I499" s="630"/>
      <c r="J499" s="631"/>
      <c r="K499" s="632"/>
      <c r="L499" s="632"/>
      <c r="M499" s="633"/>
      <c r="N499" s="625"/>
      <c r="O499" s="634"/>
      <c r="P499" s="632"/>
      <c r="Q499" s="632"/>
      <c r="R499" s="633"/>
      <c r="S499" s="634"/>
      <c r="T499" s="635"/>
      <c r="U499" s="636"/>
      <c r="V499" s="637"/>
      <c r="W499" s="637"/>
    </row>
    <row r="500">
      <c r="A500" s="625"/>
      <c r="B500" s="626"/>
      <c r="C500" s="627"/>
      <c r="D500" s="628"/>
      <c r="E500" s="629"/>
      <c r="F500" s="629"/>
      <c r="G500" s="629"/>
      <c r="H500" s="629"/>
      <c r="I500" s="630"/>
      <c r="J500" s="631"/>
      <c r="K500" s="632"/>
      <c r="L500" s="632"/>
      <c r="M500" s="633"/>
      <c r="N500" s="625"/>
      <c r="O500" s="634"/>
      <c r="P500" s="632"/>
      <c r="Q500" s="632"/>
      <c r="R500" s="633"/>
      <c r="S500" s="634"/>
      <c r="T500" s="635"/>
      <c r="U500" s="636"/>
      <c r="V500" s="637"/>
      <c r="W500" s="637"/>
    </row>
    <row r="501">
      <c r="A501" s="625"/>
      <c r="B501" s="626"/>
      <c r="C501" s="627"/>
      <c r="D501" s="628"/>
      <c r="E501" s="629"/>
      <c r="F501" s="629"/>
      <c r="G501" s="629"/>
      <c r="H501" s="629"/>
      <c r="I501" s="630"/>
      <c r="J501" s="631"/>
      <c r="K501" s="632"/>
      <c r="L501" s="632"/>
      <c r="M501" s="633"/>
      <c r="N501" s="625"/>
      <c r="O501" s="634"/>
      <c r="P501" s="632"/>
      <c r="Q501" s="632"/>
      <c r="R501" s="633"/>
      <c r="S501" s="634"/>
      <c r="T501" s="635"/>
      <c r="U501" s="636"/>
      <c r="V501" s="637"/>
      <c r="W501" s="637"/>
    </row>
    <row r="502">
      <c r="A502" s="625"/>
      <c r="B502" s="626"/>
      <c r="C502" s="627"/>
      <c r="D502" s="628"/>
      <c r="E502" s="629"/>
      <c r="F502" s="629"/>
      <c r="G502" s="629"/>
      <c r="H502" s="629"/>
      <c r="I502" s="630"/>
      <c r="J502" s="631"/>
      <c r="K502" s="632"/>
      <c r="L502" s="632"/>
      <c r="M502" s="633"/>
      <c r="N502" s="625"/>
      <c r="O502" s="634"/>
      <c r="P502" s="632"/>
      <c r="Q502" s="632"/>
      <c r="R502" s="633"/>
      <c r="S502" s="634"/>
      <c r="T502" s="635"/>
      <c r="U502" s="636"/>
      <c r="V502" s="637"/>
      <c r="W502" s="637"/>
    </row>
    <row r="503">
      <c r="A503" s="625"/>
      <c r="B503" s="626"/>
      <c r="C503" s="627"/>
      <c r="D503" s="628"/>
      <c r="E503" s="629"/>
      <c r="F503" s="629"/>
      <c r="G503" s="629"/>
      <c r="H503" s="629"/>
      <c r="I503" s="630"/>
      <c r="J503" s="631"/>
      <c r="K503" s="632"/>
      <c r="L503" s="632"/>
      <c r="M503" s="633"/>
      <c r="N503" s="625"/>
      <c r="O503" s="634"/>
      <c r="P503" s="632"/>
      <c r="Q503" s="632"/>
      <c r="R503" s="633"/>
      <c r="S503" s="634"/>
      <c r="T503" s="635"/>
      <c r="U503" s="636"/>
      <c r="V503" s="637"/>
      <c r="W503" s="637"/>
    </row>
    <row r="504">
      <c r="A504" s="625"/>
      <c r="B504" s="626"/>
      <c r="C504" s="627"/>
      <c r="D504" s="628"/>
      <c r="E504" s="629"/>
      <c r="F504" s="629"/>
      <c r="G504" s="629"/>
      <c r="H504" s="629"/>
      <c r="I504" s="630"/>
      <c r="J504" s="631"/>
      <c r="K504" s="632"/>
      <c r="L504" s="632"/>
      <c r="M504" s="633"/>
      <c r="N504" s="625"/>
      <c r="O504" s="634"/>
      <c r="P504" s="632"/>
      <c r="Q504" s="632"/>
      <c r="R504" s="633"/>
      <c r="S504" s="634"/>
      <c r="T504" s="635"/>
      <c r="U504" s="636"/>
      <c r="V504" s="637"/>
      <c r="W504" s="637"/>
    </row>
    <row r="505">
      <c r="A505" s="625"/>
      <c r="B505" s="626"/>
      <c r="C505" s="627"/>
      <c r="D505" s="628"/>
      <c r="E505" s="629"/>
      <c r="F505" s="629"/>
      <c r="G505" s="629"/>
      <c r="H505" s="629"/>
      <c r="I505" s="630"/>
      <c r="J505" s="631"/>
      <c r="K505" s="632"/>
      <c r="L505" s="632"/>
      <c r="M505" s="633"/>
      <c r="N505" s="625"/>
      <c r="O505" s="634"/>
      <c r="P505" s="632"/>
      <c r="Q505" s="632"/>
      <c r="R505" s="633"/>
      <c r="S505" s="634"/>
      <c r="T505" s="635"/>
      <c r="U505" s="636"/>
      <c r="V505" s="637"/>
      <c r="W505" s="637"/>
    </row>
    <row r="506">
      <c r="A506" s="625"/>
      <c r="B506" s="626"/>
      <c r="C506" s="627"/>
      <c r="D506" s="628"/>
      <c r="E506" s="629"/>
      <c r="F506" s="629"/>
      <c r="G506" s="629"/>
      <c r="H506" s="629"/>
      <c r="I506" s="630"/>
      <c r="J506" s="631"/>
      <c r="K506" s="632"/>
      <c r="L506" s="632"/>
      <c r="M506" s="633"/>
      <c r="N506" s="625"/>
      <c r="O506" s="634"/>
      <c r="P506" s="632"/>
      <c r="Q506" s="632"/>
      <c r="R506" s="633"/>
      <c r="S506" s="634"/>
      <c r="T506" s="635"/>
      <c r="U506" s="636"/>
      <c r="V506" s="637"/>
      <c r="W506" s="637"/>
    </row>
    <row r="507">
      <c r="A507" s="625"/>
      <c r="B507" s="626"/>
      <c r="C507" s="627"/>
      <c r="D507" s="628"/>
      <c r="E507" s="629"/>
      <c r="F507" s="629"/>
      <c r="G507" s="629"/>
      <c r="H507" s="629"/>
      <c r="I507" s="630"/>
      <c r="J507" s="631"/>
      <c r="K507" s="632"/>
      <c r="L507" s="632"/>
      <c r="M507" s="633"/>
      <c r="N507" s="625"/>
      <c r="O507" s="634"/>
      <c r="P507" s="632"/>
      <c r="Q507" s="632"/>
      <c r="R507" s="633"/>
      <c r="S507" s="634"/>
      <c r="T507" s="635"/>
      <c r="U507" s="636"/>
      <c r="V507" s="637"/>
      <c r="W507" s="637"/>
    </row>
    <row r="508">
      <c r="A508" s="625"/>
      <c r="B508" s="626"/>
      <c r="C508" s="627"/>
      <c r="D508" s="628"/>
      <c r="E508" s="629"/>
      <c r="F508" s="629"/>
      <c r="G508" s="629"/>
      <c r="H508" s="629"/>
      <c r="I508" s="630"/>
      <c r="J508" s="631"/>
      <c r="K508" s="632"/>
      <c r="L508" s="632"/>
      <c r="M508" s="633"/>
      <c r="N508" s="625"/>
      <c r="O508" s="634"/>
      <c r="P508" s="632"/>
      <c r="Q508" s="632"/>
      <c r="R508" s="633"/>
      <c r="S508" s="634"/>
      <c r="T508" s="635"/>
      <c r="U508" s="636"/>
      <c r="V508" s="637"/>
      <c r="W508" s="637"/>
    </row>
    <row r="509">
      <c r="A509" s="625"/>
      <c r="B509" s="626"/>
      <c r="C509" s="627"/>
      <c r="D509" s="628"/>
      <c r="E509" s="629"/>
      <c r="F509" s="629"/>
      <c r="G509" s="629"/>
      <c r="H509" s="629"/>
      <c r="I509" s="630"/>
      <c r="J509" s="631"/>
      <c r="K509" s="632"/>
      <c r="L509" s="632"/>
      <c r="M509" s="633"/>
      <c r="N509" s="625"/>
      <c r="O509" s="634"/>
      <c r="P509" s="632"/>
      <c r="Q509" s="632"/>
      <c r="R509" s="633"/>
      <c r="S509" s="634"/>
      <c r="T509" s="635"/>
      <c r="U509" s="636"/>
      <c r="V509" s="637"/>
      <c r="W509" s="637"/>
    </row>
    <row r="510">
      <c r="A510" s="625"/>
      <c r="B510" s="626"/>
      <c r="C510" s="627"/>
      <c r="D510" s="628"/>
      <c r="E510" s="629"/>
      <c r="F510" s="629"/>
      <c r="G510" s="629"/>
      <c r="H510" s="629"/>
      <c r="I510" s="630"/>
      <c r="J510" s="631"/>
      <c r="K510" s="632"/>
      <c r="L510" s="632"/>
      <c r="M510" s="633"/>
      <c r="N510" s="625"/>
      <c r="O510" s="634"/>
      <c r="P510" s="632"/>
      <c r="Q510" s="632"/>
      <c r="R510" s="633"/>
      <c r="S510" s="634"/>
      <c r="T510" s="635"/>
      <c r="U510" s="636"/>
      <c r="V510" s="637"/>
      <c r="W510" s="637"/>
    </row>
    <row r="511">
      <c r="A511" s="625"/>
      <c r="B511" s="626"/>
      <c r="C511" s="627"/>
      <c r="D511" s="628"/>
      <c r="E511" s="629"/>
      <c r="F511" s="629"/>
      <c r="G511" s="629"/>
      <c r="H511" s="629"/>
      <c r="I511" s="630"/>
      <c r="J511" s="631"/>
      <c r="K511" s="632"/>
      <c r="L511" s="632"/>
      <c r="M511" s="633"/>
      <c r="N511" s="625"/>
      <c r="O511" s="634"/>
      <c r="P511" s="632"/>
      <c r="Q511" s="632"/>
      <c r="R511" s="633"/>
      <c r="S511" s="634"/>
      <c r="T511" s="635"/>
      <c r="U511" s="636"/>
      <c r="V511" s="637"/>
      <c r="W511" s="637"/>
    </row>
    <row r="512">
      <c r="A512" s="625"/>
      <c r="B512" s="626"/>
      <c r="C512" s="627"/>
      <c r="D512" s="628"/>
      <c r="E512" s="629"/>
      <c r="F512" s="629"/>
      <c r="G512" s="629"/>
      <c r="H512" s="629"/>
      <c r="I512" s="630"/>
      <c r="J512" s="631"/>
      <c r="K512" s="632"/>
      <c r="L512" s="632"/>
      <c r="M512" s="633"/>
      <c r="N512" s="625"/>
      <c r="O512" s="634"/>
      <c r="P512" s="632"/>
      <c r="Q512" s="632"/>
      <c r="R512" s="633"/>
      <c r="S512" s="634"/>
      <c r="T512" s="635"/>
      <c r="U512" s="636"/>
      <c r="V512" s="637"/>
      <c r="W512" s="637"/>
    </row>
    <row r="513">
      <c r="A513" s="625"/>
      <c r="B513" s="626"/>
      <c r="C513" s="627"/>
      <c r="D513" s="628"/>
      <c r="E513" s="629"/>
      <c r="F513" s="629"/>
      <c r="G513" s="629"/>
      <c r="H513" s="629"/>
      <c r="I513" s="630"/>
      <c r="J513" s="631"/>
      <c r="K513" s="632"/>
      <c r="L513" s="632"/>
      <c r="M513" s="633"/>
      <c r="N513" s="625"/>
      <c r="O513" s="634"/>
      <c r="P513" s="632"/>
      <c r="Q513" s="632"/>
      <c r="R513" s="633"/>
      <c r="S513" s="634"/>
      <c r="T513" s="635"/>
      <c r="U513" s="636"/>
      <c r="V513" s="637"/>
      <c r="W513" s="637"/>
    </row>
    <row r="514">
      <c r="A514" s="625"/>
      <c r="B514" s="626"/>
      <c r="C514" s="627"/>
      <c r="D514" s="628"/>
      <c r="E514" s="629"/>
      <c r="F514" s="629"/>
      <c r="G514" s="629"/>
      <c r="H514" s="629"/>
      <c r="I514" s="630"/>
      <c r="J514" s="631"/>
      <c r="K514" s="632"/>
      <c r="L514" s="632"/>
      <c r="M514" s="633"/>
      <c r="N514" s="625"/>
      <c r="O514" s="634"/>
      <c r="P514" s="632"/>
      <c r="Q514" s="632"/>
      <c r="R514" s="633"/>
      <c r="S514" s="634"/>
      <c r="T514" s="635"/>
      <c r="U514" s="636"/>
      <c r="V514" s="637"/>
      <c r="W514" s="637"/>
    </row>
    <row r="515">
      <c r="A515" s="625"/>
      <c r="B515" s="626"/>
      <c r="C515" s="627"/>
      <c r="D515" s="628"/>
      <c r="E515" s="629"/>
      <c r="F515" s="629"/>
      <c r="G515" s="629"/>
      <c r="H515" s="629"/>
      <c r="I515" s="630"/>
      <c r="J515" s="631"/>
      <c r="K515" s="632"/>
      <c r="L515" s="632"/>
      <c r="M515" s="633"/>
      <c r="N515" s="625"/>
      <c r="O515" s="634"/>
      <c r="P515" s="632"/>
      <c r="Q515" s="632"/>
      <c r="R515" s="633"/>
      <c r="S515" s="634"/>
      <c r="T515" s="635"/>
      <c r="U515" s="636"/>
      <c r="V515" s="637"/>
      <c r="W515" s="637"/>
    </row>
    <row r="516">
      <c r="A516" s="625"/>
      <c r="B516" s="626"/>
      <c r="C516" s="627"/>
      <c r="D516" s="628"/>
      <c r="E516" s="629"/>
      <c r="F516" s="629"/>
      <c r="G516" s="629"/>
      <c r="H516" s="629"/>
      <c r="I516" s="630"/>
      <c r="J516" s="631"/>
      <c r="K516" s="632"/>
      <c r="L516" s="632"/>
      <c r="M516" s="633"/>
      <c r="N516" s="625"/>
      <c r="O516" s="634"/>
      <c r="P516" s="632"/>
      <c r="Q516" s="632"/>
      <c r="R516" s="633"/>
      <c r="S516" s="634"/>
      <c r="T516" s="635"/>
      <c r="U516" s="636"/>
      <c r="V516" s="637"/>
      <c r="W516" s="637"/>
    </row>
    <row r="517">
      <c r="A517" s="625"/>
      <c r="B517" s="626"/>
      <c r="C517" s="627"/>
      <c r="D517" s="628"/>
      <c r="E517" s="629"/>
      <c r="F517" s="629"/>
      <c r="G517" s="629"/>
      <c r="H517" s="629"/>
      <c r="I517" s="630"/>
      <c r="J517" s="631"/>
      <c r="K517" s="632"/>
      <c r="L517" s="632"/>
      <c r="M517" s="633"/>
      <c r="N517" s="625"/>
      <c r="O517" s="634"/>
      <c r="P517" s="632"/>
      <c r="Q517" s="632"/>
      <c r="R517" s="633"/>
      <c r="S517" s="634"/>
      <c r="T517" s="635"/>
      <c r="U517" s="636"/>
      <c r="V517" s="637"/>
      <c r="W517" s="637"/>
    </row>
    <row r="518">
      <c r="A518" s="625"/>
      <c r="B518" s="626"/>
      <c r="C518" s="627"/>
      <c r="D518" s="628"/>
      <c r="E518" s="629"/>
      <c r="F518" s="629"/>
      <c r="G518" s="629"/>
      <c r="H518" s="629"/>
      <c r="I518" s="630"/>
      <c r="J518" s="631"/>
      <c r="K518" s="632"/>
      <c r="L518" s="632"/>
      <c r="M518" s="633"/>
      <c r="N518" s="625"/>
      <c r="O518" s="634"/>
      <c r="P518" s="632"/>
      <c r="Q518" s="632"/>
      <c r="R518" s="633"/>
      <c r="S518" s="634"/>
      <c r="T518" s="635"/>
      <c r="U518" s="636"/>
      <c r="V518" s="637"/>
      <c r="W518" s="637"/>
    </row>
    <row r="519">
      <c r="A519" s="625"/>
      <c r="B519" s="626"/>
      <c r="C519" s="627"/>
      <c r="D519" s="628"/>
      <c r="E519" s="629"/>
      <c r="F519" s="629"/>
      <c r="G519" s="629"/>
      <c r="H519" s="629"/>
      <c r="I519" s="630"/>
      <c r="J519" s="631"/>
      <c r="K519" s="632"/>
      <c r="L519" s="632"/>
      <c r="M519" s="633"/>
      <c r="N519" s="625"/>
      <c r="O519" s="634"/>
      <c r="P519" s="632"/>
      <c r="Q519" s="632"/>
      <c r="R519" s="633"/>
      <c r="S519" s="634"/>
      <c r="T519" s="635"/>
      <c r="U519" s="636"/>
      <c r="V519" s="637"/>
      <c r="W519" s="637"/>
    </row>
    <row r="520">
      <c r="A520" s="625"/>
      <c r="B520" s="626"/>
      <c r="C520" s="627"/>
      <c r="D520" s="628"/>
      <c r="E520" s="629"/>
      <c r="F520" s="629"/>
      <c r="G520" s="629"/>
      <c r="H520" s="629"/>
      <c r="I520" s="630"/>
      <c r="J520" s="631"/>
      <c r="K520" s="632"/>
      <c r="L520" s="632"/>
      <c r="M520" s="633"/>
      <c r="N520" s="625"/>
      <c r="O520" s="634"/>
      <c r="P520" s="632"/>
      <c r="Q520" s="632"/>
      <c r="R520" s="633"/>
      <c r="S520" s="634"/>
      <c r="T520" s="635"/>
      <c r="U520" s="636"/>
      <c r="V520" s="637"/>
      <c r="W520" s="637"/>
    </row>
    <row r="521">
      <c r="A521" s="625"/>
      <c r="B521" s="626"/>
      <c r="C521" s="627"/>
      <c r="D521" s="628"/>
      <c r="E521" s="629"/>
      <c r="F521" s="629"/>
      <c r="G521" s="629"/>
      <c r="H521" s="629"/>
      <c r="I521" s="630"/>
      <c r="J521" s="631"/>
      <c r="K521" s="632"/>
      <c r="L521" s="632"/>
      <c r="M521" s="633"/>
      <c r="N521" s="625"/>
      <c r="O521" s="634"/>
      <c r="P521" s="632"/>
      <c r="Q521" s="632"/>
      <c r="R521" s="633"/>
      <c r="S521" s="634"/>
      <c r="T521" s="635"/>
      <c r="U521" s="636"/>
      <c r="V521" s="637"/>
      <c r="W521" s="637"/>
    </row>
    <row r="522">
      <c r="A522" s="625"/>
      <c r="B522" s="626"/>
      <c r="C522" s="627"/>
      <c r="D522" s="628"/>
      <c r="E522" s="629"/>
      <c r="F522" s="629"/>
      <c r="G522" s="629"/>
      <c r="H522" s="629"/>
      <c r="I522" s="630"/>
      <c r="J522" s="631"/>
      <c r="K522" s="632"/>
      <c r="L522" s="632"/>
      <c r="M522" s="633"/>
      <c r="N522" s="625"/>
      <c r="O522" s="634"/>
      <c r="P522" s="632"/>
      <c r="Q522" s="632"/>
      <c r="R522" s="633"/>
      <c r="S522" s="634"/>
      <c r="T522" s="635"/>
      <c r="U522" s="636"/>
      <c r="V522" s="637"/>
      <c r="W522" s="637"/>
    </row>
    <row r="523">
      <c r="A523" s="625"/>
      <c r="B523" s="626"/>
      <c r="C523" s="627"/>
      <c r="D523" s="628"/>
      <c r="E523" s="629"/>
      <c r="F523" s="629"/>
      <c r="G523" s="629"/>
      <c r="H523" s="629"/>
      <c r="I523" s="630"/>
      <c r="J523" s="631"/>
      <c r="K523" s="632"/>
      <c r="L523" s="632"/>
      <c r="M523" s="633"/>
      <c r="N523" s="625"/>
      <c r="O523" s="634"/>
      <c r="P523" s="632"/>
      <c r="Q523" s="632"/>
      <c r="R523" s="633"/>
      <c r="S523" s="634"/>
      <c r="T523" s="635"/>
      <c r="U523" s="636"/>
      <c r="V523" s="637"/>
      <c r="W523" s="637"/>
    </row>
    <row r="524">
      <c r="A524" s="625"/>
      <c r="B524" s="626"/>
      <c r="C524" s="627"/>
      <c r="D524" s="628"/>
      <c r="E524" s="629"/>
      <c r="F524" s="629"/>
      <c r="G524" s="629"/>
      <c r="H524" s="629"/>
      <c r="I524" s="630"/>
      <c r="J524" s="631"/>
      <c r="K524" s="632"/>
      <c r="L524" s="632"/>
      <c r="M524" s="633"/>
      <c r="N524" s="625"/>
      <c r="O524" s="634"/>
      <c r="P524" s="632"/>
      <c r="Q524" s="632"/>
      <c r="R524" s="633"/>
      <c r="S524" s="634"/>
      <c r="T524" s="635"/>
      <c r="U524" s="636"/>
      <c r="V524" s="637"/>
      <c r="W524" s="637"/>
    </row>
    <row r="525">
      <c r="A525" s="625"/>
      <c r="B525" s="626"/>
      <c r="C525" s="627"/>
      <c r="D525" s="628"/>
      <c r="E525" s="629"/>
      <c r="F525" s="629"/>
      <c r="G525" s="629"/>
      <c r="H525" s="629"/>
      <c r="I525" s="630"/>
      <c r="J525" s="631"/>
      <c r="K525" s="632"/>
      <c r="L525" s="632"/>
      <c r="M525" s="633"/>
      <c r="N525" s="625"/>
      <c r="O525" s="634"/>
      <c r="P525" s="632"/>
      <c r="Q525" s="632"/>
      <c r="R525" s="633"/>
      <c r="S525" s="634"/>
      <c r="T525" s="635"/>
      <c r="U525" s="636"/>
      <c r="V525" s="637"/>
      <c r="W525" s="637"/>
    </row>
    <row r="526">
      <c r="A526" s="625"/>
      <c r="B526" s="626"/>
      <c r="C526" s="627"/>
      <c r="D526" s="628"/>
      <c r="E526" s="629"/>
      <c r="F526" s="629"/>
      <c r="G526" s="629"/>
      <c r="H526" s="629"/>
      <c r="I526" s="630"/>
      <c r="J526" s="631"/>
      <c r="K526" s="632"/>
      <c r="L526" s="632"/>
      <c r="M526" s="633"/>
      <c r="N526" s="625"/>
      <c r="O526" s="634"/>
      <c r="P526" s="632"/>
      <c r="Q526" s="632"/>
      <c r="R526" s="633"/>
      <c r="S526" s="634"/>
      <c r="T526" s="635"/>
      <c r="U526" s="636"/>
      <c r="V526" s="637"/>
      <c r="W526" s="637"/>
    </row>
    <row r="527">
      <c r="A527" s="625"/>
      <c r="B527" s="626"/>
      <c r="C527" s="627"/>
      <c r="D527" s="628"/>
      <c r="E527" s="629"/>
      <c r="F527" s="629"/>
      <c r="G527" s="629"/>
      <c r="H527" s="629"/>
      <c r="I527" s="630"/>
      <c r="J527" s="631"/>
      <c r="K527" s="632"/>
      <c r="L527" s="632"/>
      <c r="M527" s="633"/>
      <c r="N527" s="625"/>
      <c r="O527" s="634"/>
      <c r="P527" s="632"/>
      <c r="Q527" s="632"/>
      <c r="R527" s="633"/>
      <c r="S527" s="634"/>
      <c r="T527" s="635"/>
      <c r="U527" s="636"/>
      <c r="V527" s="637"/>
      <c r="W527" s="637"/>
    </row>
    <row r="528">
      <c r="A528" s="625"/>
      <c r="B528" s="626"/>
      <c r="C528" s="627"/>
      <c r="D528" s="628"/>
      <c r="E528" s="629"/>
      <c r="F528" s="629"/>
      <c r="G528" s="629"/>
      <c r="H528" s="629"/>
      <c r="I528" s="630"/>
      <c r="J528" s="631"/>
      <c r="K528" s="632"/>
      <c r="L528" s="632"/>
      <c r="M528" s="633"/>
      <c r="N528" s="625"/>
      <c r="O528" s="634"/>
      <c r="P528" s="632"/>
      <c r="Q528" s="632"/>
      <c r="R528" s="633"/>
      <c r="S528" s="634"/>
      <c r="T528" s="635"/>
      <c r="U528" s="636"/>
      <c r="V528" s="637"/>
      <c r="W528" s="637"/>
    </row>
    <row r="529">
      <c r="A529" s="625"/>
      <c r="B529" s="626"/>
      <c r="C529" s="627"/>
      <c r="D529" s="628"/>
      <c r="E529" s="629"/>
      <c r="F529" s="629"/>
      <c r="G529" s="629"/>
      <c r="H529" s="629"/>
      <c r="I529" s="630"/>
      <c r="J529" s="631"/>
      <c r="K529" s="632"/>
      <c r="L529" s="632"/>
      <c r="M529" s="633"/>
      <c r="N529" s="625"/>
      <c r="O529" s="634"/>
      <c r="P529" s="632"/>
      <c r="Q529" s="632"/>
      <c r="R529" s="633"/>
      <c r="S529" s="634"/>
      <c r="T529" s="635"/>
      <c r="U529" s="636"/>
      <c r="V529" s="637"/>
      <c r="W529" s="637"/>
    </row>
    <row r="530">
      <c r="A530" s="625"/>
      <c r="B530" s="626"/>
      <c r="C530" s="627"/>
      <c r="D530" s="628"/>
      <c r="E530" s="629"/>
      <c r="F530" s="629"/>
      <c r="G530" s="629"/>
      <c r="H530" s="629"/>
      <c r="I530" s="630"/>
      <c r="J530" s="631"/>
      <c r="K530" s="632"/>
      <c r="L530" s="632"/>
      <c r="M530" s="633"/>
      <c r="N530" s="625"/>
      <c r="O530" s="634"/>
      <c r="P530" s="632"/>
      <c r="Q530" s="632"/>
      <c r="R530" s="633"/>
      <c r="S530" s="634"/>
      <c r="T530" s="635"/>
      <c r="U530" s="636"/>
      <c r="V530" s="637"/>
      <c r="W530" s="637"/>
    </row>
    <row r="531">
      <c r="A531" s="625"/>
      <c r="B531" s="626"/>
      <c r="C531" s="627"/>
      <c r="D531" s="628"/>
      <c r="E531" s="629"/>
      <c r="F531" s="629"/>
      <c r="G531" s="629"/>
      <c r="H531" s="629"/>
      <c r="I531" s="630"/>
      <c r="J531" s="631"/>
      <c r="K531" s="632"/>
      <c r="L531" s="632"/>
      <c r="M531" s="633"/>
      <c r="N531" s="625"/>
      <c r="O531" s="634"/>
      <c r="P531" s="632"/>
      <c r="Q531" s="632"/>
      <c r="R531" s="633"/>
      <c r="S531" s="634"/>
      <c r="T531" s="635"/>
      <c r="U531" s="636"/>
      <c r="V531" s="637"/>
      <c r="W531" s="637"/>
    </row>
    <row r="532">
      <c r="A532" s="625"/>
      <c r="B532" s="626"/>
      <c r="C532" s="627"/>
      <c r="D532" s="628"/>
      <c r="E532" s="629"/>
      <c r="F532" s="629"/>
      <c r="G532" s="629"/>
      <c r="H532" s="629"/>
      <c r="I532" s="630"/>
      <c r="J532" s="631"/>
      <c r="K532" s="632"/>
      <c r="L532" s="632"/>
      <c r="M532" s="633"/>
      <c r="N532" s="625"/>
      <c r="O532" s="634"/>
      <c r="P532" s="632"/>
      <c r="Q532" s="632"/>
      <c r="R532" s="633"/>
      <c r="S532" s="634"/>
      <c r="T532" s="635"/>
      <c r="U532" s="636"/>
      <c r="V532" s="637"/>
      <c r="W532" s="637"/>
    </row>
    <row r="533">
      <c r="A533" s="625"/>
      <c r="B533" s="626"/>
      <c r="C533" s="627"/>
      <c r="D533" s="628"/>
      <c r="E533" s="629"/>
      <c r="F533" s="629"/>
      <c r="G533" s="629"/>
      <c r="H533" s="629"/>
      <c r="I533" s="630"/>
      <c r="J533" s="631"/>
      <c r="K533" s="632"/>
      <c r="L533" s="632"/>
      <c r="M533" s="633"/>
      <c r="N533" s="625"/>
      <c r="O533" s="634"/>
      <c r="P533" s="632"/>
      <c r="Q533" s="632"/>
      <c r="R533" s="633"/>
      <c r="S533" s="634"/>
      <c r="T533" s="635"/>
      <c r="U533" s="636"/>
      <c r="V533" s="637"/>
      <c r="W533" s="637"/>
    </row>
    <row r="534">
      <c r="A534" s="625"/>
      <c r="B534" s="626"/>
      <c r="C534" s="627"/>
      <c r="D534" s="628"/>
      <c r="E534" s="629"/>
      <c r="F534" s="629"/>
      <c r="G534" s="629"/>
      <c r="H534" s="629"/>
      <c r="I534" s="630"/>
      <c r="J534" s="631"/>
      <c r="K534" s="632"/>
      <c r="L534" s="632"/>
      <c r="M534" s="633"/>
      <c r="N534" s="625"/>
      <c r="O534" s="634"/>
      <c r="P534" s="632"/>
      <c r="Q534" s="632"/>
      <c r="R534" s="633"/>
      <c r="S534" s="634"/>
      <c r="T534" s="635"/>
      <c r="U534" s="636"/>
      <c r="V534" s="637"/>
      <c r="W534" s="637"/>
    </row>
    <row r="535">
      <c r="A535" s="625"/>
      <c r="B535" s="626"/>
      <c r="C535" s="627"/>
      <c r="D535" s="628"/>
      <c r="E535" s="629"/>
      <c r="F535" s="629"/>
      <c r="G535" s="629"/>
      <c r="H535" s="629"/>
      <c r="I535" s="630"/>
      <c r="J535" s="631"/>
      <c r="K535" s="632"/>
      <c r="L535" s="632"/>
      <c r="M535" s="633"/>
      <c r="N535" s="625"/>
      <c r="O535" s="634"/>
      <c r="P535" s="632"/>
      <c r="Q535" s="632"/>
      <c r="R535" s="633"/>
      <c r="S535" s="634"/>
      <c r="T535" s="635"/>
      <c r="U535" s="636"/>
      <c r="V535" s="637"/>
      <c r="W535" s="637"/>
    </row>
    <row r="536">
      <c r="A536" s="625"/>
      <c r="B536" s="626"/>
      <c r="C536" s="627"/>
      <c r="D536" s="628"/>
      <c r="E536" s="629"/>
      <c r="F536" s="629"/>
      <c r="G536" s="629"/>
      <c r="H536" s="629"/>
      <c r="I536" s="630"/>
      <c r="J536" s="631"/>
      <c r="K536" s="632"/>
      <c r="L536" s="632"/>
      <c r="M536" s="633"/>
      <c r="N536" s="625"/>
      <c r="O536" s="634"/>
      <c r="P536" s="632"/>
      <c r="Q536" s="632"/>
      <c r="R536" s="633"/>
      <c r="S536" s="634"/>
      <c r="T536" s="635"/>
      <c r="U536" s="636"/>
      <c r="V536" s="637"/>
      <c r="W536" s="637"/>
    </row>
    <row r="537">
      <c r="A537" s="625"/>
      <c r="B537" s="626"/>
      <c r="C537" s="627"/>
      <c r="D537" s="628"/>
      <c r="E537" s="629"/>
      <c r="F537" s="629"/>
      <c r="G537" s="629"/>
      <c r="H537" s="629"/>
      <c r="I537" s="630"/>
      <c r="J537" s="631"/>
      <c r="K537" s="632"/>
      <c r="L537" s="632"/>
      <c r="M537" s="633"/>
      <c r="N537" s="625"/>
      <c r="O537" s="634"/>
      <c r="P537" s="632"/>
      <c r="Q537" s="632"/>
      <c r="R537" s="633"/>
      <c r="S537" s="634"/>
      <c r="T537" s="635"/>
      <c r="U537" s="636"/>
      <c r="V537" s="637"/>
      <c r="W537" s="637"/>
    </row>
    <row r="538">
      <c r="A538" s="625"/>
      <c r="B538" s="626"/>
      <c r="C538" s="627"/>
      <c r="D538" s="628"/>
      <c r="E538" s="629"/>
      <c r="F538" s="629"/>
      <c r="G538" s="629"/>
      <c r="H538" s="629"/>
      <c r="I538" s="630"/>
      <c r="J538" s="631"/>
      <c r="K538" s="632"/>
      <c r="L538" s="632"/>
      <c r="M538" s="633"/>
      <c r="N538" s="625"/>
      <c r="O538" s="634"/>
      <c r="P538" s="632"/>
      <c r="Q538" s="632"/>
      <c r="R538" s="633"/>
      <c r="S538" s="634"/>
      <c r="T538" s="635"/>
      <c r="U538" s="636"/>
      <c r="V538" s="637"/>
      <c r="W538" s="637"/>
    </row>
    <row r="539">
      <c r="A539" s="625"/>
      <c r="B539" s="626"/>
      <c r="C539" s="627"/>
      <c r="D539" s="628"/>
      <c r="E539" s="629"/>
      <c r="F539" s="629"/>
      <c r="G539" s="629"/>
      <c r="H539" s="629"/>
      <c r="I539" s="630"/>
      <c r="J539" s="631"/>
      <c r="K539" s="632"/>
      <c r="L539" s="632"/>
      <c r="M539" s="633"/>
      <c r="N539" s="625"/>
      <c r="O539" s="634"/>
      <c r="P539" s="632"/>
      <c r="Q539" s="632"/>
      <c r="R539" s="633"/>
      <c r="S539" s="634"/>
      <c r="T539" s="635"/>
      <c r="U539" s="636"/>
      <c r="V539" s="637"/>
      <c r="W539" s="637"/>
    </row>
    <row r="540">
      <c r="A540" s="625"/>
      <c r="B540" s="626"/>
      <c r="C540" s="627"/>
      <c r="D540" s="628"/>
      <c r="E540" s="629"/>
      <c r="F540" s="629"/>
      <c r="G540" s="629"/>
      <c r="H540" s="629"/>
      <c r="I540" s="630"/>
      <c r="J540" s="631"/>
      <c r="K540" s="632"/>
      <c r="L540" s="632"/>
      <c r="M540" s="633"/>
      <c r="N540" s="625"/>
      <c r="O540" s="634"/>
      <c r="P540" s="632"/>
      <c r="Q540" s="632"/>
      <c r="R540" s="633"/>
      <c r="S540" s="634"/>
      <c r="T540" s="635"/>
      <c r="U540" s="636"/>
      <c r="V540" s="637"/>
      <c r="W540" s="637"/>
    </row>
    <row r="541">
      <c r="A541" s="625"/>
      <c r="B541" s="626"/>
      <c r="C541" s="627"/>
      <c r="D541" s="628"/>
      <c r="E541" s="629"/>
      <c r="F541" s="629"/>
      <c r="G541" s="629"/>
      <c r="H541" s="629"/>
      <c r="I541" s="630"/>
      <c r="J541" s="631"/>
      <c r="K541" s="632"/>
      <c r="L541" s="632"/>
      <c r="M541" s="633"/>
      <c r="N541" s="625"/>
      <c r="O541" s="634"/>
      <c r="P541" s="632"/>
      <c r="Q541" s="632"/>
      <c r="R541" s="633"/>
      <c r="S541" s="634"/>
      <c r="T541" s="635"/>
      <c r="U541" s="636"/>
      <c r="V541" s="637"/>
      <c r="W541" s="637"/>
    </row>
    <row r="542">
      <c r="A542" s="625"/>
      <c r="B542" s="626"/>
      <c r="C542" s="627"/>
      <c r="D542" s="628"/>
      <c r="E542" s="629"/>
      <c r="F542" s="629"/>
      <c r="G542" s="629"/>
      <c r="H542" s="629"/>
      <c r="I542" s="630"/>
      <c r="J542" s="631"/>
      <c r="K542" s="632"/>
      <c r="L542" s="632"/>
      <c r="M542" s="633"/>
      <c r="N542" s="625"/>
      <c r="O542" s="634"/>
      <c r="P542" s="632"/>
      <c r="Q542" s="632"/>
      <c r="R542" s="633"/>
      <c r="S542" s="634"/>
      <c r="T542" s="635"/>
      <c r="U542" s="636"/>
      <c r="V542" s="637"/>
      <c r="W542" s="637"/>
    </row>
    <row r="543">
      <c r="A543" s="625"/>
      <c r="B543" s="626"/>
      <c r="C543" s="627"/>
      <c r="D543" s="628"/>
      <c r="E543" s="629"/>
      <c r="F543" s="629"/>
      <c r="G543" s="629"/>
      <c r="H543" s="629"/>
      <c r="I543" s="630"/>
      <c r="J543" s="631"/>
      <c r="K543" s="632"/>
      <c r="L543" s="632"/>
      <c r="M543" s="633"/>
      <c r="N543" s="625"/>
      <c r="O543" s="634"/>
      <c r="P543" s="632"/>
      <c r="Q543" s="632"/>
      <c r="R543" s="633"/>
      <c r="S543" s="634"/>
      <c r="T543" s="635"/>
      <c r="U543" s="636"/>
      <c r="V543" s="637"/>
      <c r="W543" s="637"/>
    </row>
    <row r="544">
      <c r="A544" s="625"/>
      <c r="B544" s="626"/>
      <c r="C544" s="627"/>
      <c r="D544" s="628"/>
      <c r="E544" s="629"/>
      <c r="F544" s="629"/>
      <c r="G544" s="629"/>
      <c r="H544" s="629"/>
      <c r="I544" s="630"/>
      <c r="J544" s="631"/>
      <c r="K544" s="632"/>
      <c r="L544" s="632"/>
      <c r="M544" s="633"/>
      <c r="N544" s="625"/>
      <c r="O544" s="634"/>
      <c r="P544" s="632"/>
      <c r="Q544" s="632"/>
      <c r="R544" s="633"/>
      <c r="S544" s="634"/>
      <c r="T544" s="635"/>
      <c r="U544" s="636"/>
      <c r="V544" s="637"/>
      <c r="W544" s="637"/>
    </row>
    <row r="545">
      <c r="A545" s="625"/>
      <c r="B545" s="626"/>
      <c r="C545" s="627"/>
      <c r="D545" s="628"/>
      <c r="E545" s="629"/>
      <c r="F545" s="629"/>
      <c r="G545" s="629"/>
      <c r="H545" s="629"/>
      <c r="I545" s="630"/>
      <c r="J545" s="631"/>
      <c r="K545" s="632"/>
      <c r="L545" s="632"/>
      <c r="M545" s="633"/>
      <c r="N545" s="625"/>
      <c r="O545" s="634"/>
      <c r="P545" s="632"/>
      <c r="Q545" s="632"/>
      <c r="R545" s="633"/>
      <c r="S545" s="634"/>
      <c r="T545" s="635"/>
      <c r="U545" s="636"/>
      <c r="V545" s="637"/>
      <c r="W545" s="637"/>
    </row>
    <row r="546">
      <c r="A546" s="625"/>
      <c r="B546" s="626"/>
      <c r="C546" s="627"/>
      <c r="D546" s="628"/>
      <c r="E546" s="629"/>
      <c r="F546" s="629"/>
      <c r="G546" s="629"/>
      <c r="H546" s="629"/>
      <c r="I546" s="630"/>
      <c r="J546" s="631"/>
      <c r="K546" s="632"/>
      <c r="L546" s="632"/>
      <c r="M546" s="633"/>
      <c r="N546" s="625"/>
      <c r="O546" s="634"/>
      <c r="P546" s="632"/>
      <c r="Q546" s="632"/>
      <c r="R546" s="633"/>
      <c r="S546" s="634"/>
      <c r="T546" s="635"/>
      <c r="U546" s="636"/>
      <c r="V546" s="637"/>
      <c r="W546" s="637"/>
    </row>
    <row r="547">
      <c r="A547" s="625"/>
      <c r="B547" s="626"/>
      <c r="C547" s="627"/>
      <c r="D547" s="628"/>
      <c r="E547" s="629"/>
      <c r="F547" s="629"/>
      <c r="G547" s="629"/>
      <c r="H547" s="629"/>
      <c r="I547" s="630"/>
      <c r="J547" s="631"/>
      <c r="K547" s="632"/>
      <c r="L547" s="632"/>
      <c r="M547" s="633"/>
      <c r="N547" s="625"/>
      <c r="O547" s="634"/>
      <c r="P547" s="632"/>
      <c r="Q547" s="632"/>
      <c r="R547" s="633"/>
      <c r="S547" s="634"/>
      <c r="T547" s="635"/>
      <c r="U547" s="636"/>
      <c r="V547" s="637"/>
      <c r="W547" s="637"/>
    </row>
    <row r="548">
      <c r="A548" s="625"/>
      <c r="B548" s="626"/>
      <c r="C548" s="627"/>
      <c r="D548" s="628"/>
      <c r="E548" s="629"/>
      <c r="F548" s="629"/>
      <c r="G548" s="629"/>
      <c r="H548" s="629"/>
      <c r="I548" s="630"/>
      <c r="J548" s="631"/>
      <c r="K548" s="632"/>
      <c r="L548" s="632"/>
      <c r="M548" s="633"/>
      <c r="N548" s="625"/>
      <c r="O548" s="634"/>
      <c r="P548" s="632"/>
      <c r="Q548" s="632"/>
      <c r="R548" s="633"/>
      <c r="S548" s="634"/>
      <c r="T548" s="635"/>
      <c r="U548" s="636"/>
      <c r="V548" s="637"/>
      <c r="W548" s="637"/>
    </row>
    <row r="549">
      <c r="A549" s="625"/>
      <c r="B549" s="626"/>
      <c r="C549" s="627"/>
      <c r="D549" s="628"/>
      <c r="E549" s="629"/>
      <c r="F549" s="629"/>
      <c r="G549" s="629"/>
      <c r="H549" s="629"/>
      <c r="I549" s="630"/>
      <c r="J549" s="631"/>
      <c r="K549" s="632"/>
      <c r="L549" s="632"/>
      <c r="M549" s="633"/>
      <c r="N549" s="625"/>
      <c r="O549" s="634"/>
      <c r="P549" s="632"/>
      <c r="Q549" s="632"/>
      <c r="R549" s="633"/>
      <c r="S549" s="634"/>
      <c r="T549" s="635"/>
      <c r="U549" s="636"/>
      <c r="V549" s="637"/>
      <c r="W549" s="637"/>
    </row>
    <row r="550">
      <c r="A550" s="625"/>
      <c r="B550" s="626"/>
      <c r="C550" s="627"/>
      <c r="D550" s="628"/>
      <c r="E550" s="629"/>
      <c r="F550" s="629"/>
      <c r="G550" s="629"/>
      <c r="H550" s="629"/>
      <c r="I550" s="630"/>
      <c r="J550" s="631"/>
      <c r="K550" s="632"/>
      <c r="L550" s="632"/>
      <c r="M550" s="633"/>
      <c r="N550" s="625"/>
      <c r="O550" s="634"/>
      <c r="P550" s="632"/>
      <c r="Q550" s="632"/>
      <c r="R550" s="633"/>
      <c r="S550" s="634"/>
      <c r="T550" s="635"/>
      <c r="U550" s="636"/>
      <c r="V550" s="637"/>
      <c r="W550" s="637"/>
    </row>
    <row r="551">
      <c r="A551" s="625"/>
      <c r="B551" s="626"/>
      <c r="C551" s="627"/>
      <c r="D551" s="628"/>
      <c r="E551" s="629"/>
      <c r="F551" s="629"/>
      <c r="G551" s="629"/>
      <c r="H551" s="629"/>
      <c r="I551" s="630"/>
      <c r="J551" s="631"/>
      <c r="K551" s="632"/>
      <c r="L551" s="632"/>
      <c r="M551" s="633"/>
      <c r="N551" s="625"/>
      <c r="O551" s="634"/>
      <c r="P551" s="632"/>
      <c r="Q551" s="632"/>
      <c r="R551" s="633"/>
      <c r="S551" s="634"/>
      <c r="T551" s="635"/>
      <c r="U551" s="636"/>
      <c r="V551" s="637"/>
      <c r="W551" s="637"/>
    </row>
    <row r="552">
      <c r="A552" s="625"/>
      <c r="B552" s="626"/>
      <c r="C552" s="627"/>
      <c r="D552" s="628"/>
      <c r="E552" s="629"/>
      <c r="F552" s="629"/>
      <c r="G552" s="629"/>
      <c r="H552" s="629"/>
      <c r="I552" s="630"/>
      <c r="J552" s="631"/>
      <c r="K552" s="632"/>
      <c r="L552" s="632"/>
      <c r="M552" s="633"/>
      <c r="N552" s="625"/>
      <c r="O552" s="634"/>
      <c r="P552" s="632"/>
      <c r="Q552" s="632"/>
      <c r="R552" s="633"/>
      <c r="S552" s="634"/>
      <c r="T552" s="635"/>
      <c r="U552" s="636"/>
      <c r="V552" s="637"/>
      <c r="W552" s="637"/>
    </row>
    <row r="553">
      <c r="A553" s="625"/>
      <c r="B553" s="626"/>
      <c r="C553" s="627"/>
      <c r="D553" s="628"/>
      <c r="E553" s="629"/>
      <c r="F553" s="629"/>
      <c r="G553" s="629"/>
      <c r="H553" s="629"/>
      <c r="I553" s="630"/>
      <c r="J553" s="631"/>
      <c r="K553" s="632"/>
      <c r="L553" s="632"/>
      <c r="M553" s="633"/>
      <c r="N553" s="625"/>
      <c r="O553" s="634"/>
      <c r="P553" s="632"/>
      <c r="Q553" s="632"/>
      <c r="R553" s="633"/>
      <c r="S553" s="634"/>
      <c r="T553" s="635"/>
      <c r="U553" s="636"/>
      <c r="V553" s="637"/>
      <c r="W553" s="637"/>
    </row>
    <row r="554">
      <c r="A554" s="625"/>
      <c r="B554" s="626"/>
      <c r="C554" s="627"/>
      <c r="D554" s="628"/>
      <c r="E554" s="629"/>
      <c r="F554" s="629"/>
      <c r="G554" s="629"/>
      <c r="H554" s="629"/>
      <c r="I554" s="630"/>
      <c r="J554" s="631"/>
      <c r="K554" s="632"/>
      <c r="L554" s="632"/>
      <c r="M554" s="633"/>
      <c r="N554" s="625"/>
      <c r="O554" s="634"/>
      <c r="P554" s="632"/>
      <c r="Q554" s="632"/>
      <c r="R554" s="633"/>
      <c r="S554" s="634"/>
      <c r="T554" s="635"/>
      <c r="U554" s="636"/>
      <c r="V554" s="637"/>
      <c r="W554" s="637"/>
    </row>
    <row r="555">
      <c r="A555" s="625"/>
      <c r="B555" s="626"/>
      <c r="C555" s="627"/>
      <c r="D555" s="628"/>
      <c r="E555" s="629"/>
      <c r="F555" s="629"/>
      <c r="G555" s="629"/>
      <c r="H555" s="629"/>
      <c r="I555" s="630"/>
      <c r="J555" s="631"/>
      <c r="K555" s="632"/>
      <c r="L555" s="632"/>
      <c r="M555" s="633"/>
      <c r="N555" s="625"/>
      <c r="O555" s="634"/>
      <c r="P555" s="632"/>
      <c r="Q555" s="632"/>
      <c r="R555" s="633"/>
      <c r="S555" s="634"/>
      <c r="T555" s="635"/>
      <c r="U555" s="636"/>
      <c r="V555" s="637"/>
      <c r="W555" s="637"/>
    </row>
    <row r="556">
      <c r="A556" s="625"/>
      <c r="B556" s="626"/>
      <c r="C556" s="627"/>
      <c r="D556" s="628"/>
      <c r="E556" s="629"/>
      <c r="F556" s="629"/>
      <c r="G556" s="629"/>
      <c r="H556" s="629"/>
      <c r="I556" s="630"/>
      <c r="J556" s="631"/>
      <c r="K556" s="632"/>
      <c r="L556" s="632"/>
      <c r="M556" s="633"/>
      <c r="N556" s="625"/>
      <c r="O556" s="634"/>
      <c r="P556" s="632"/>
      <c r="Q556" s="632"/>
      <c r="R556" s="633"/>
      <c r="S556" s="634"/>
      <c r="T556" s="635"/>
      <c r="U556" s="636"/>
      <c r="V556" s="637"/>
      <c r="W556" s="637"/>
    </row>
    <row r="557">
      <c r="A557" s="625"/>
      <c r="B557" s="626"/>
      <c r="C557" s="627"/>
      <c r="D557" s="628"/>
      <c r="E557" s="629"/>
      <c r="F557" s="629"/>
      <c r="G557" s="629"/>
      <c r="H557" s="629"/>
      <c r="I557" s="630"/>
      <c r="J557" s="631"/>
      <c r="K557" s="632"/>
      <c r="L557" s="632"/>
      <c r="M557" s="633"/>
      <c r="N557" s="625"/>
      <c r="O557" s="634"/>
      <c r="P557" s="632"/>
      <c r="Q557" s="632"/>
      <c r="R557" s="633"/>
      <c r="S557" s="634"/>
      <c r="T557" s="635"/>
      <c r="U557" s="636"/>
      <c r="V557" s="637"/>
      <c r="W557" s="637"/>
    </row>
    <row r="558">
      <c r="A558" s="625"/>
      <c r="B558" s="626"/>
      <c r="C558" s="627"/>
      <c r="D558" s="628"/>
      <c r="E558" s="629"/>
      <c r="F558" s="629"/>
      <c r="G558" s="629"/>
      <c r="H558" s="629"/>
      <c r="I558" s="630"/>
      <c r="J558" s="631"/>
      <c r="K558" s="632"/>
      <c r="L558" s="632"/>
      <c r="M558" s="633"/>
      <c r="N558" s="625"/>
      <c r="O558" s="634"/>
      <c r="P558" s="632"/>
      <c r="Q558" s="632"/>
      <c r="R558" s="633"/>
      <c r="S558" s="634"/>
      <c r="T558" s="635"/>
      <c r="U558" s="636"/>
      <c r="V558" s="637"/>
      <c r="W558" s="637"/>
    </row>
    <row r="559">
      <c r="A559" s="625"/>
      <c r="B559" s="626"/>
      <c r="C559" s="627"/>
      <c r="D559" s="628"/>
      <c r="E559" s="629"/>
      <c r="F559" s="629"/>
      <c r="G559" s="629"/>
      <c r="H559" s="629"/>
      <c r="I559" s="630"/>
      <c r="J559" s="631"/>
      <c r="K559" s="632"/>
      <c r="L559" s="632"/>
      <c r="M559" s="633"/>
      <c r="N559" s="625"/>
      <c r="O559" s="634"/>
      <c r="P559" s="632"/>
      <c r="Q559" s="632"/>
      <c r="R559" s="633"/>
      <c r="S559" s="634"/>
      <c r="T559" s="635"/>
      <c r="U559" s="636"/>
      <c r="V559" s="637"/>
      <c r="W559" s="637"/>
    </row>
    <row r="560">
      <c r="A560" s="625"/>
      <c r="B560" s="626"/>
      <c r="C560" s="627"/>
      <c r="D560" s="628"/>
      <c r="E560" s="629"/>
      <c r="F560" s="629"/>
      <c r="G560" s="629"/>
      <c r="H560" s="629"/>
      <c r="I560" s="630"/>
      <c r="J560" s="631"/>
      <c r="K560" s="632"/>
      <c r="L560" s="632"/>
      <c r="M560" s="633"/>
      <c r="N560" s="625"/>
      <c r="O560" s="634"/>
      <c r="P560" s="632"/>
      <c r="Q560" s="632"/>
      <c r="R560" s="633"/>
      <c r="S560" s="634"/>
      <c r="T560" s="635"/>
      <c r="U560" s="636"/>
      <c r="V560" s="637"/>
      <c r="W560" s="637"/>
    </row>
    <row r="561">
      <c r="A561" s="625"/>
      <c r="B561" s="626"/>
      <c r="C561" s="627"/>
      <c r="D561" s="628"/>
      <c r="E561" s="629"/>
      <c r="F561" s="629"/>
      <c r="G561" s="629"/>
      <c r="H561" s="629"/>
      <c r="I561" s="630"/>
      <c r="J561" s="631"/>
      <c r="K561" s="632"/>
      <c r="L561" s="632"/>
      <c r="M561" s="633"/>
      <c r="N561" s="625"/>
      <c r="O561" s="634"/>
      <c r="P561" s="632"/>
      <c r="Q561" s="632"/>
      <c r="R561" s="633"/>
      <c r="S561" s="634"/>
      <c r="T561" s="635"/>
      <c r="U561" s="636"/>
      <c r="V561" s="637"/>
      <c r="W561" s="637"/>
    </row>
    <row r="562">
      <c r="A562" s="625"/>
      <c r="B562" s="626"/>
      <c r="C562" s="627"/>
      <c r="D562" s="628"/>
      <c r="E562" s="629"/>
      <c r="F562" s="629"/>
      <c r="G562" s="629"/>
      <c r="H562" s="629"/>
      <c r="I562" s="630"/>
      <c r="J562" s="631"/>
      <c r="K562" s="632"/>
      <c r="L562" s="632"/>
      <c r="M562" s="633"/>
      <c r="N562" s="625"/>
      <c r="O562" s="634"/>
      <c r="P562" s="632"/>
      <c r="Q562" s="632"/>
      <c r="R562" s="633"/>
      <c r="S562" s="634"/>
      <c r="T562" s="635"/>
      <c r="U562" s="636"/>
      <c r="V562" s="637"/>
      <c r="W562" s="637"/>
    </row>
    <row r="563">
      <c r="A563" s="625"/>
      <c r="B563" s="626"/>
      <c r="C563" s="627"/>
      <c r="D563" s="628"/>
      <c r="E563" s="629"/>
      <c r="F563" s="629"/>
      <c r="G563" s="629"/>
      <c r="H563" s="629"/>
      <c r="I563" s="630"/>
      <c r="J563" s="631"/>
      <c r="K563" s="632"/>
      <c r="L563" s="632"/>
      <c r="M563" s="633"/>
      <c r="N563" s="625"/>
      <c r="O563" s="634"/>
      <c r="P563" s="632"/>
      <c r="Q563" s="632"/>
      <c r="R563" s="633"/>
      <c r="S563" s="634"/>
      <c r="T563" s="635"/>
      <c r="U563" s="636"/>
      <c r="V563" s="637"/>
      <c r="W563" s="637"/>
    </row>
    <row r="564">
      <c r="A564" s="625"/>
      <c r="B564" s="626"/>
      <c r="C564" s="627"/>
      <c r="D564" s="628"/>
      <c r="E564" s="629"/>
      <c r="F564" s="629"/>
      <c r="G564" s="629"/>
      <c r="H564" s="629"/>
      <c r="I564" s="630"/>
      <c r="J564" s="631"/>
      <c r="K564" s="632"/>
      <c r="L564" s="632"/>
      <c r="M564" s="633"/>
      <c r="N564" s="625"/>
      <c r="O564" s="634"/>
      <c r="P564" s="632"/>
      <c r="Q564" s="632"/>
      <c r="R564" s="633"/>
      <c r="S564" s="634"/>
      <c r="T564" s="635"/>
      <c r="U564" s="636"/>
      <c r="V564" s="637"/>
      <c r="W564" s="637"/>
    </row>
    <row r="565">
      <c r="A565" s="625"/>
      <c r="B565" s="626"/>
      <c r="C565" s="627"/>
      <c r="D565" s="628"/>
      <c r="E565" s="629"/>
      <c r="F565" s="629"/>
      <c r="G565" s="629"/>
      <c r="H565" s="629"/>
      <c r="I565" s="630"/>
      <c r="J565" s="631"/>
      <c r="K565" s="632"/>
      <c r="L565" s="632"/>
      <c r="M565" s="633"/>
      <c r="N565" s="625"/>
      <c r="O565" s="634"/>
      <c r="P565" s="632"/>
      <c r="Q565" s="632"/>
      <c r="R565" s="633"/>
      <c r="S565" s="634"/>
      <c r="T565" s="635"/>
      <c r="U565" s="636"/>
      <c r="V565" s="637"/>
      <c r="W565" s="637"/>
    </row>
    <row r="566">
      <c r="A566" s="625"/>
      <c r="B566" s="626"/>
      <c r="C566" s="627"/>
      <c r="D566" s="628"/>
      <c r="E566" s="629"/>
      <c r="F566" s="629"/>
      <c r="G566" s="629"/>
      <c r="H566" s="629"/>
      <c r="I566" s="630"/>
      <c r="J566" s="631"/>
      <c r="K566" s="632"/>
      <c r="L566" s="632"/>
      <c r="M566" s="633"/>
      <c r="N566" s="625"/>
      <c r="O566" s="634"/>
      <c r="P566" s="632"/>
      <c r="Q566" s="632"/>
      <c r="R566" s="633"/>
      <c r="S566" s="634"/>
      <c r="T566" s="635"/>
      <c r="U566" s="636"/>
      <c r="V566" s="637"/>
      <c r="W566" s="637"/>
    </row>
    <row r="567">
      <c r="A567" s="625"/>
      <c r="B567" s="626"/>
      <c r="C567" s="627"/>
      <c r="D567" s="628"/>
      <c r="E567" s="629"/>
      <c r="F567" s="629"/>
      <c r="G567" s="629"/>
      <c r="H567" s="629"/>
      <c r="I567" s="630"/>
      <c r="J567" s="631"/>
      <c r="K567" s="632"/>
      <c r="L567" s="632"/>
      <c r="M567" s="633"/>
      <c r="N567" s="625"/>
      <c r="O567" s="634"/>
      <c r="P567" s="632"/>
      <c r="Q567" s="632"/>
      <c r="R567" s="633"/>
      <c r="S567" s="634"/>
      <c r="T567" s="635"/>
      <c r="U567" s="636"/>
      <c r="V567" s="637"/>
      <c r="W567" s="637"/>
    </row>
    <row r="568">
      <c r="A568" s="625"/>
      <c r="B568" s="626"/>
      <c r="C568" s="627"/>
      <c r="D568" s="628"/>
      <c r="E568" s="629"/>
      <c r="F568" s="629"/>
      <c r="G568" s="629"/>
      <c r="H568" s="629"/>
      <c r="I568" s="630"/>
      <c r="J568" s="631"/>
      <c r="K568" s="632"/>
      <c r="L568" s="632"/>
      <c r="M568" s="633"/>
      <c r="N568" s="625"/>
      <c r="O568" s="634"/>
      <c r="P568" s="632"/>
      <c r="Q568" s="632"/>
      <c r="R568" s="633"/>
      <c r="S568" s="634"/>
      <c r="T568" s="635"/>
      <c r="U568" s="636"/>
      <c r="V568" s="637"/>
      <c r="W568" s="637"/>
    </row>
    <row r="569">
      <c r="A569" s="625"/>
      <c r="B569" s="626"/>
      <c r="C569" s="627"/>
      <c r="D569" s="628"/>
      <c r="E569" s="629"/>
      <c r="F569" s="629"/>
      <c r="G569" s="629"/>
      <c r="H569" s="629"/>
      <c r="I569" s="630"/>
      <c r="J569" s="631"/>
      <c r="K569" s="632"/>
      <c r="L569" s="632"/>
      <c r="M569" s="633"/>
      <c r="N569" s="625"/>
      <c r="O569" s="634"/>
      <c r="P569" s="632"/>
      <c r="Q569" s="632"/>
      <c r="R569" s="633"/>
      <c r="S569" s="634"/>
      <c r="T569" s="635"/>
      <c r="U569" s="636"/>
      <c r="V569" s="637"/>
      <c r="W569" s="637"/>
    </row>
    <row r="570">
      <c r="A570" s="625"/>
      <c r="B570" s="626"/>
      <c r="C570" s="627"/>
      <c r="D570" s="628"/>
      <c r="E570" s="629"/>
      <c r="F570" s="629"/>
      <c r="G570" s="629"/>
      <c r="H570" s="629"/>
      <c r="I570" s="630"/>
      <c r="J570" s="631"/>
      <c r="K570" s="632"/>
      <c r="L570" s="632"/>
      <c r="M570" s="633"/>
      <c r="N570" s="625"/>
      <c r="O570" s="634"/>
      <c r="P570" s="632"/>
      <c r="Q570" s="632"/>
      <c r="R570" s="633"/>
      <c r="S570" s="634"/>
      <c r="T570" s="635"/>
      <c r="U570" s="636"/>
      <c r="V570" s="637"/>
      <c r="W570" s="637"/>
    </row>
    <row r="571">
      <c r="A571" s="625"/>
      <c r="B571" s="626"/>
      <c r="C571" s="627"/>
      <c r="D571" s="628"/>
      <c r="E571" s="629"/>
      <c r="F571" s="629"/>
      <c r="G571" s="629"/>
      <c r="H571" s="629"/>
      <c r="I571" s="630"/>
      <c r="J571" s="631"/>
      <c r="K571" s="632"/>
      <c r="L571" s="632"/>
      <c r="M571" s="633"/>
      <c r="N571" s="625"/>
      <c r="O571" s="634"/>
      <c r="P571" s="632"/>
      <c r="Q571" s="632"/>
      <c r="R571" s="633"/>
      <c r="S571" s="634"/>
      <c r="T571" s="635"/>
      <c r="U571" s="636"/>
      <c r="V571" s="637"/>
      <c r="W571" s="637"/>
    </row>
    <row r="572">
      <c r="A572" s="625"/>
      <c r="B572" s="626"/>
      <c r="C572" s="627"/>
      <c r="D572" s="628"/>
      <c r="E572" s="629"/>
      <c r="F572" s="629"/>
      <c r="G572" s="629"/>
      <c r="H572" s="629"/>
      <c r="I572" s="630"/>
      <c r="J572" s="631"/>
      <c r="K572" s="632"/>
      <c r="L572" s="632"/>
      <c r="M572" s="633"/>
      <c r="N572" s="625"/>
      <c r="O572" s="634"/>
      <c r="P572" s="632"/>
      <c r="Q572" s="632"/>
      <c r="R572" s="633"/>
      <c r="S572" s="634"/>
      <c r="T572" s="635"/>
      <c r="U572" s="636"/>
      <c r="V572" s="637"/>
      <c r="W572" s="637"/>
    </row>
    <row r="573">
      <c r="A573" s="625"/>
      <c r="B573" s="626"/>
      <c r="C573" s="627"/>
      <c r="D573" s="628"/>
      <c r="E573" s="629"/>
      <c r="F573" s="629"/>
      <c r="G573" s="629"/>
      <c r="H573" s="629"/>
      <c r="I573" s="630"/>
      <c r="J573" s="631"/>
      <c r="K573" s="632"/>
      <c r="L573" s="632"/>
      <c r="M573" s="633"/>
      <c r="N573" s="625"/>
      <c r="O573" s="634"/>
      <c r="P573" s="632"/>
      <c r="Q573" s="632"/>
      <c r="R573" s="633"/>
      <c r="S573" s="634"/>
      <c r="T573" s="635"/>
      <c r="U573" s="636"/>
      <c r="V573" s="637"/>
      <c r="W573" s="637"/>
    </row>
    <row r="574">
      <c r="A574" s="625"/>
      <c r="B574" s="626"/>
      <c r="C574" s="627"/>
      <c r="D574" s="628"/>
      <c r="E574" s="629"/>
      <c r="F574" s="629"/>
      <c r="G574" s="629"/>
      <c r="H574" s="629"/>
      <c r="I574" s="630"/>
      <c r="J574" s="631"/>
      <c r="K574" s="632"/>
      <c r="L574" s="632"/>
      <c r="M574" s="633"/>
      <c r="N574" s="625"/>
      <c r="O574" s="634"/>
      <c r="P574" s="632"/>
      <c r="Q574" s="632"/>
      <c r="R574" s="633"/>
      <c r="S574" s="634"/>
      <c r="T574" s="635"/>
      <c r="U574" s="636"/>
      <c r="V574" s="637"/>
      <c r="W574" s="637"/>
    </row>
    <row r="575">
      <c r="A575" s="625"/>
      <c r="B575" s="626"/>
      <c r="C575" s="627"/>
      <c r="D575" s="628"/>
      <c r="E575" s="629"/>
      <c r="F575" s="629"/>
      <c r="G575" s="629"/>
      <c r="H575" s="629"/>
      <c r="I575" s="630"/>
      <c r="J575" s="631"/>
      <c r="K575" s="632"/>
      <c r="L575" s="632"/>
      <c r="M575" s="633"/>
      <c r="N575" s="625"/>
      <c r="O575" s="634"/>
      <c r="P575" s="632"/>
      <c r="Q575" s="632"/>
      <c r="R575" s="633"/>
      <c r="S575" s="634"/>
      <c r="T575" s="635"/>
      <c r="U575" s="636"/>
      <c r="V575" s="637"/>
      <c r="W575" s="637"/>
    </row>
    <row r="576">
      <c r="A576" s="625"/>
      <c r="B576" s="626"/>
      <c r="C576" s="627"/>
      <c r="D576" s="628"/>
      <c r="E576" s="629"/>
      <c r="F576" s="629"/>
      <c r="G576" s="629"/>
      <c r="H576" s="629"/>
      <c r="I576" s="630"/>
      <c r="J576" s="631"/>
      <c r="K576" s="632"/>
      <c r="L576" s="632"/>
      <c r="M576" s="633"/>
      <c r="N576" s="625"/>
      <c r="O576" s="634"/>
      <c r="P576" s="632"/>
      <c r="Q576" s="632"/>
      <c r="R576" s="633"/>
      <c r="S576" s="634"/>
      <c r="T576" s="635"/>
      <c r="U576" s="636"/>
      <c r="V576" s="637"/>
      <c r="W576" s="637"/>
    </row>
    <row r="577">
      <c r="A577" s="625"/>
      <c r="B577" s="626"/>
      <c r="C577" s="627"/>
      <c r="D577" s="628"/>
      <c r="E577" s="629"/>
      <c r="F577" s="629"/>
      <c r="G577" s="629"/>
      <c r="H577" s="629"/>
      <c r="I577" s="630"/>
      <c r="J577" s="631"/>
      <c r="K577" s="632"/>
      <c r="L577" s="632"/>
      <c r="M577" s="633"/>
      <c r="N577" s="625"/>
      <c r="O577" s="634"/>
      <c r="P577" s="632"/>
      <c r="Q577" s="632"/>
      <c r="R577" s="633"/>
      <c r="S577" s="634"/>
      <c r="T577" s="635"/>
      <c r="U577" s="636"/>
      <c r="V577" s="637"/>
      <c r="W577" s="637"/>
    </row>
    <row r="578">
      <c r="A578" s="625"/>
      <c r="B578" s="626"/>
      <c r="C578" s="627"/>
      <c r="D578" s="628"/>
      <c r="E578" s="629"/>
      <c r="F578" s="629"/>
      <c r="G578" s="629"/>
      <c r="H578" s="629"/>
      <c r="I578" s="630"/>
      <c r="J578" s="631"/>
      <c r="K578" s="632"/>
      <c r="L578" s="632"/>
      <c r="M578" s="633"/>
      <c r="N578" s="625"/>
      <c r="O578" s="634"/>
      <c r="P578" s="632"/>
      <c r="Q578" s="632"/>
      <c r="R578" s="633"/>
      <c r="S578" s="634"/>
      <c r="T578" s="635"/>
      <c r="U578" s="636"/>
      <c r="V578" s="637"/>
      <c r="W578" s="637"/>
    </row>
    <row r="579">
      <c r="A579" s="625"/>
      <c r="B579" s="626"/>
      <c r="C579" s="627"/>
      <c r="D579" s="628"/>
      <c r="E579" s="629"/>
      <c r="F579" s="629"/>
      <c r="G579" s="629"/>
      <c r="H579" s="629"/>
      <c r="I579" s="630"/>
      <c r="J579" s="631"/>
      <c r="K579" s="632"/>
      <c r="L579" s="632"/>
      <c r="M579" s="633"/>
      <c r="N579" s="625"/>
      <c r="O579" s="634"/>
      <c r="P579" s="632"/>
      <c r="Q579" s="632"/>
      <c r="R579" s="633"/>
      <c r="S579" s="634"/>
      <c r="T579" s="635"/>
      <c r="U579" s="636"/>
      <c r="V579" s="637"/>
      <c r="W579" s="637"/>
    </row>
    <row r="580">
      <c r="A580" s="625"/>
      <c r="B580" s="626"/>
      <c r="C580" s="627"/>
      <c r="D580" s="628"/>
      <c r="E580" s="629"/>
      <c r="F580" s="629"/>
      <c r="G580" s="629"/>
      <c r="H580" s="629"/>
      <c r="I580" s="630"/>
      <c r="J580" s="631"/>
      <c r="K580" s="632"/>
      <c r="L580" s="632"/>
      <c r="M580" s="633"/>
      <c r="N580" s="625"/>
      <c r="O580" s="634"/>
      <c r="P580" s="632"/>
      <c r="Q580" s="632"/>
      <c r="R580" s="633"/>
      <c r="S580" s="634"/>
      <c r="T580" s="635"/>
      <c r="U580" s="636"/>
      <c r="V580" s="637"/>
      <c r="W580" s="637"/>
    </row>
    <row r="581">
      <c r="A581" s="625"/>
      <c r="B581" s="626"/>
      <c r="C581" s="627"/>
      <c r="D581" s="628"/>
      <c r="E581" s="629"/>
      <c r="F581" s="629"/>
      <c r="G581" s="629"/>
      <c r="H581" s="629"/>
      <c r="I581" s="630"/>
      <c r="J581" s="631"/>
      <c r="K581" s="632"/>
      <c r="L581" s="632"/>
      <c r="M581" s="633"/>
      <c r="N581" s="625"/>
      <c r="O581" s="634"/>
      <c r="P581" s="632"/>
      <c r="Q581" s="632"/>
      <c r="R581" s="633"/>
      <c r="S581" s="634"/>
      <c r="T581" s="635"/>
      <c r="U581" s="636"/>
      <c r="V581" s="637"/>
      <c r="W581" s="637"/>
    </row>
    <row r="582">
      <c r="A582" s="625"/>
      <c r="B582" s="626"/>
      <c r="C582" s="627"/>
      <c r="D582" s="628"/>
      <c r="E582" s="629"/>
      <c r="F582" s="629"/>
      <c r="G582" s="629"/>
      <c r="H582" s="629"/>
      <c r="I582" s="630"/>
      <c r="J582" s="631"/>
      <c r="K582" s="632"/>
      <c r="L582" s="632"/>
      <c r="M582" s="633"/>
      <c r="N582" s="625"/>
      <c r="O582" s="634"/>
      <c r="P582" s="632"/>
      <c r="Q582" s="632"/>
      <c r="R582" s="633"/>
      <c r="S582" s="634"/>
      <c r="T582" s="635"/>
      <c r="U582" s="636"/>
      <c r="V582" s="637"/>
      <c r="W582" s="637"/>
    </row>
    <row r="583">
      <c r="A583" s="625"/>
      <c r="B583" s="626"/>
      <c r="C583" s="627"/>
      <c r="D583" s="628"/>
      <c r="E583" s="629"/>
      <c r="F583" s="629"/>
      <c r="G583" s="629"/>
      <c r="H583" s="629"/>
      <c r="I583" s="630"/>
      <c r="J583" s="631"/>
      <c r="K583" s="632"/>
      <c r="L583" s="632"/>
      <c r="M583" s="633"/>
      <c r="N583" s="625"/>
      <c r="O583" s="634"/>
      <c r="P583" s="632"/>
      <c r="Q583" s="632"/>
      <c r="R583" s="633"/>
      <c r="S583" s="634"/>
      <c r="T583" s="635"/>
      <c r="U583" s="636"/>
      <c r="V583" s="637"/>
      <c r="W583" s="637"/>
    </row>
    <row r="584">
      <c r="A584" s="625"/>
      <c r="B584" s="626"/>
      <c r="C584" s="627"/>
      <c r="D584" s="628"/>
      <c r="E584" s="629"/>
      <c r="F584" s="629"/>
      <c r="G584" s="629"/>
      <c r="H584" s="629"/>
      <c r="I584" s="630"/>
      <c r="J584" s="631"/>
      <c r="K584" s="632"/>
      <c r="L584" s="632"/>
      <c r="M584" s="633"/>
      <c r="N584" s="625"/>
      <c r="O584" s="634"/>
      <c r="P584" s="632"/>
      <c r="Q584" s="632"/>
      <c r="R584" s="633"/>
      <c r="S584" s="634"/>
      <c r="T584" s="635"/>
      <c r="U584" s="636"/>
      <c r="V584" s="637"/>
      <c r="W584" s="637"/>
    </row>
    <row r="585">
      <c r="A585" s="625"/>
      <c r="B585" s="626"/>
      <c r="C585" s="627"/>
      <c r="D585" s="628"/>
      <c r="E585" s="629"/>
      <c r="F585" s="629"/>
      <c r="G585" s="629"/>
      <c r="H585" s="629"/>
      <c r="I585" s="630"/>
      <c r="J585" s="631"/>
      <c r="K585" s="632"/>
      <c r="L585" s="632"/>
      <c r="M585" s="633"/>
      <c r="N585" s="625"/>
      <c r="O585" s="634"/>
      <c r="P585" s="632"/>
      <c r="Q585" s="632"/>
      <c r="R585" s="633"/>
      <c r="S585" s="634"/>
      <c r="T585" s="635"/>
      <c r="U585" s="636"/>
      <c r="V585" s="637"/>
      <c r="W585" s="637"/>
    </row>
    <row r="586">
      <c r="A586" s="625"/>
      <c r="B586" s="626"/>
      <c r="C586" s="627"/>
      <c r="D586" s="628"/>
      <c r="E586" s="629"/>
      <c r="F586" s="629"/>
      <c r="G586" s="629"/>
      <c r="H586" s="629"/>
      <c r="I586" s="630"/>
      <c r="J586" s="631"/>
      <c r="K586" s="632"/>
      <c r="L586" s="632"/>
      <c r="M586" s="633"/>
      <c r="N586" s="625"/>
      <c r="O586" s="634"/>
      <c r="P586" s="632"/>
      <c r="Q586" s="632"/>
      <c r="R586" s="633"/>
      <c r="S586" s="634"/>
      <c r="T586" s="635"/>
      <c r="U586" s="636"/>
      <c r="V586" s="637"/>
      <c r="W586" s="637"/>
    </row>
    <row r="587">
      <c r="A587" s="625"/>
      <c r="B587" s="626"/>
      <c r="C587" s="627"/>
      <c r="D587" s="628"/>
      <c r="E587" s="629"/>
      <c r="F587" s="629"/>
      <c r="G587" s="629"/>
      <c r="H587" s="629"/>
      <c r="I587" s="630"/>
      <c r="J587" s="631"/>
      <c r="K587" s="632"/>
      <c r="L587" s="632"/>
      <c r="M587" s="633"/>
      <c r="N587" s="625"/>
      <c r="O587" s="634"/>
      <c r="P587" s="632"/>
      <c r="Q587" s="632"/>
      <c r="R587" s="633"/>
      <c r="S587" s="634"/>
      <c r="T587" s="635"/>
      <c r="U587" s="636"/>
      <c r="V587" s="637"/>
      <c r="W587" s="637"/>
    </row>
    <row r="588">
      <c r="A588" s="625"/>
      <c r="B588" s="626"/>
      <c r="C588" s="627"/>
      <c r="D588" s="628"/>
      <c r="E588" s="629"/>
      <c r="F588" s="629"/>
      <c r="G588" s="629"/>
      <c r="H588" s="629"/>
      <c r="I588" s="630"/>
      <c r="J588" s="631"/>
      <c r="K588" s="632"/>
      <c r="L588" s="632"/>
      <c r="M588" s="633"/>
      <c r="N588" s="625"/>
      <c r="O588" s="634"/>
      <c r="P588" s="632"/>
      <c r="Q588" s="632"/>
      <c r="R588" s="633"/>
      <c r="S588" s="634"/>
      <c r="T588" s="635"/>
      <c r="U588" s="636"/>
      <c r="V588" s="637"/>
      <c r="W588" s="637"/>
    </row>
    <row r="589">
      <c r="A589" s="625"/>
      <c r="B589" s="626"/>
      <c r="C589" s="627"/>
      <c r="D589" s="628"/>
      <c r="E589" s="629"/>
      <c r="F589" s="629"/>
      <c r="G589" s="629"/>
      <c r="H589" s="629"/>
      <c r="I589" s="630"/>
      <c r="J589" s="631"/>
      <c r="K589" s="632"/>
      <c r="L589" s="632"/>
      <c r="M589" s="633"/>
      <c r="N589" s="625"/>
      <c r="O589" s="634"/>
      <c r="P589" s="632"/>
      <c r="Q589" s="632"/>
      <c r="R589" s="633"/>
      <c r="S589" s="634"/>
      <c r="T589" s="635"/>
      <c r="U589" s="636"/>
      <c r="V589" s="637"/>
      <c r="W589" s="637"/>
    </row>
    <row r="590">
      <c r="A590" s="625"/>
      <c r="B590" s="626"/>
      <c r="C590" s="627"/>
      <c r="D590" s="628"/>
      <c r="E590" s="629"/>
      <c r="F590" s="629"/>
      <c r="G590" s="629"/>
      <c r="H590" s="629"/>
      <c r="I590" s="630"/>
      <c r="J590" s="631"/>
      <c r="K590" s="632"/>
      <c r="L590" s="632"/>
      <c r="M590" s="633"/>
      <c r="N590" s="625"/>
      <c r="O590" s="634"/>
      <c r="P590" s="632"/>
      <c r="Q590" s="632"/>
      <c r="R590" s="633"/>
      <c r="S590" s="634"/>
      <c r="T590" s="635"/>
      <c r="U590" s="636"/>
      <c r="V590" s="637"/>
      <c r="W590" s="637"/>
    </row>
    <row r="591">
      <c r="A591" s="625"/>
      <c r="B591" s="626"/>
      <c r="C591" s="627"/>
      <c r="D591" s="628"/>
      <c r="E591" s="629"/>
      <c r="F591" s="629"/>
      <c r="G591" s="629"/>
      <c r="H591" s="629"/>
      <c r="I591" s="630"/>
      <c r="J591" s="631"/>
      <c r="K591" s="632"/>
      <c r="L591" s="632"/>
      <c r="M591" s="633"/>
      <c r="N591" s="625"/>
      <c r="O591" s="634"/>
      <c r="P591" s="632"/>
      <c r="Q591" s="632"/>
      <c r="R591" s="633"/>
      <c r="S591" s="634"/>
      <c r="T591" s="635"/>
      <c r="U591" s="636"/>
      <c r="V591" s="637"/>
      <c r="W591" s="637"/>
    </row>
    <row r="592">
      <c r="A592" s="625"/>
      <c r="B592" s="626"/>
      <c r="C592" s="627"/>
      <c r="D592" s="628"/>
      <c r="E592" s="629"/>
      <c r="F592" s="629"/>
      <c r="G592" s="629"/>
      <c r="H592" s="629"/>
      <c r="I592" s="630"/>
      <c r="J592" s="631"/>
      <c r="K592" s="632"/>
      <c r="L592" s="632"/>
      <c r="M592" s="633"/>
      <c r="N592" s="625"/>
      <c r="O592" s="634"/>
      <c r="P592" s="632"/>
      <c r="Q592" s="632"/>
      <c r="R592" s="633"/>
      <c r="S592" s="634"/>
      <c r="T592" s="635"/>
      <c r="U592" s="636"/>
      <c r="V592" s="637"/>
      <c r="W592" s="637"/>
    </row>
    <row r="593">
      <c r="A593" s="625"/>
      <c r="B593" s="626"/>
      <c r="C593" s="627"/>
      <c r="D593" s="628"/>
      <c r="E593" s="629"/>
      <c r="F593" s="629"/>
      <c r="G593" s="629"/>
      <c r="H593" s="629"/>
      <c r="I593" s="630"/>
      <c r="J593" s="631"/>
      <c r="K593" s="632"/>
      <c r="L593" s="632"/>
      <c r="M593" s="633"/>
      <c r="N593" s="625"/>
      <c r="O593" s="634"/>
      <c r="P593" s="632"/>
      <c r="Q593" s="632"/>
      <c r="R593" s="633"/>
      <c r="S593" s="634"/>
      <c r="T593" s="635"/>
      <c r="U593" s="636"/>
      <c r="V593" s="637"/>
      <c r="W593" s="637"/>
    </row>
    <row r="594">
      <c r="A594" s="625"/>
      <c r="B594" s="626"/>
      <c r="C594" s="627"/>
      <c r="D594" s="628"/>
      <c r="E594" s="629"/>
      <c r="F594" s="629"/>
      <c r="G594" s="629"/>
      <c r="H594" s="629"/>
      <c r="I594" s="630"/>
      <c r="J594" s="631"/>
      <c r="K594" s="632"/>
      <c r="L594" s="632"/>
      <c r="M594" s="633"/>
      <c r="N594" s="625"/>
      <c r="O594" s="634"/>
      <c r="P594" s="632"/>
      <c r="Q594" s="632"/>
      <c r="R594" s="633"/>
      <c r="S594" s="634"/>
      <c r="T594" s="635"/>
      <c r="U594" s="636"/>
      <c r="V594" s="637"/>
      <c r="W594" s="637"/>
    </row>
    <row r="595">
      <c r="A595" s="625"/>
      <c r="B595" s="626"/>
      <c r="C595" s="627"/>
      <c r="D595" s="628"/>
      <c r="E595" s="629"/>
      <c r="F595" s="629"/>
      <c r="G595" s="629"/>
      <c r="H595" s="629"/>
      <c r="I595" s="630"/>
      <c r="J595" s="631"/>
      <c r="K595" s="632"/>
      <c r="L595" s="632"/>
      <c r="M595" s="633"/>
      <c r="N595" s="625"/>
      <c r="O595" s="634"/>
      <c r="P595" s="632"/>
      <c r="Q595" s="632"/>
      <c r="R595" s="633"/>
      <c r="S595" s="634"/>
      <c r="T595" s="635"/>
      <c r="U595" s="636"/>
      <c r="V595" s="637"/>
      <c r="W595" s="637"/>
    </row>
    <row r="596">
      <c r="A596" s="625"/>
      <c r="B596" s="626"/>
      <c r="C596" s="627"/>
      <c r="D596" s="628"/>
      <c r="E596" s="629"/>
      <c r="F596" s="629"/>
      <c r="G596" s="629"/>
      <c r="H596" s="629"/>
      <c r="I596" s="630"/>
      <c r="J596" s="631"/>
      <c r="K596" s="632"/>
      <c r="L596" s="632"/>
      <c r="M596" s="633"/>
      <c r="N596" s="625"/>
      <c r="O596" s="634"/>
      <c r="P596" s="632"/>
      <c r="Q596" s="632"/>
      <c r="R596" s="633"/>
      <c r="S596" s="634"/>
      <c r="T596" s="635"/>
      <c r="U596" s="636"/>
      <c r="V596" s="637"/>
      <c r="W596" s="637"/>
    </row>
    <row r="597">
      <c r="A597" s="625"/>
      <c r="B597" s="626"/>
      <c r="C597" s="627"/>
      <c r="D597" s="628"/>
      <c r="E597" s="629"/>
      <c r="F597" s="629"/>
      <c r="G597" s="629"/>
      <c r="H597" s="629"/>
      <c r="I597" s="630"/>
      <c r="J597" s="631"/>
      <c r="K597" s="632"/>
      <c r="L597" s="632"/>
      <c r="M597" s="633"/>
      <c r="N597" s="625"/>
      <c r="O597" s="634"/>
      <c r="P597" s="632"/>
      <c r="Q597" s="632"/>
      <c r="R597" s="633"/>
      <c r="S597" s="634"/>
      <c r="T597" s="635"/>
      <c r="U597" s="636"/>
      <c r="V597" s="637"/>
      <c r="W597" s="637"/>
    </row>
    <row r="598">
      <c r="A598" s="625"/>
      <c r="B598" s="626"/>
      <c r="C598" s="627"/>
      <c r="D598" s="628"/>
      <c r="E598" s="629"/>
      <c r="F598" s="629"/>
      <c r="G598" s="629"/>
      <c r="H598" s="629"/>
      <c r="I598" s="630"/>
      <c r="J598" s="631"/>
      <c r="K598" s="632"/>
      <c r="L598" s="632"/>
      <c r="M598" s="633"/>
      <c r="N598" s="625"/>
      <c r="O598" s="634"/>
      <c r="P598" s="632"/>
      <c r="Q598" s="632"/>
      <c r="R598" s="633"/>
      <c r="S598" s="634"/>
      <c r="T598" s="635"/>
      <c r="U598" s="636"/>
      <c r="V598" s="637"/>
      <c r="W598" s="637"/>
    </row>
    <row r="599">
      <c r="A599" s="625"/>
      <c r="B599" s="626"/>
      <c r="C599" s="627"/>
      <c r="D599" s="628"/>
      <c r="E599" s="629"/>
      <c r="F599" s="629"/>
      <c r="G599" s="629"/>
      <c r="H599" s="629"/>
      <c r="I599" s="630"/>
      <c r="J599" s="631"/>
      <c r="K599" s="632"/>
      <c r="L599" s="632"/>
      <c r="M599" s="633"/>
      <c r="N599" s="625"/>
      <c r="O599" s="634"/>
      <c r="P599" s="632"/>
      <c r="Q599" s="632"/>
      <c r="R599" s="633"/>
      <c r="S599" s="634"/>
      <c r="T599" s="635"/>
      <c r="U599" s="636"/>
      <c r="V599" s="637"/>
      <c r="W599" s="637"/>
    </row>
    <row r="600">
      <c r="A600" s="625"/>
      <c r="B600" s="626"/>
      <c r="C600" s="627"/>
      <c r="D600" s="628"/>
      <c r="E600" s="629"/>
      <c r="F600" s="629"/>
      <c r="G600" s="629"/>
      <c r="H600" s="629"/>
      <c r="I600" s="630"/>
      <c r="J600" s="631"/>
      <c r="K600" s="632"/>
      <c r="L600" s="632"/>
      <c r="M600" s="633"/>
      <c r="N600" s="625"/>
      <c r="O600" s="634"/>
      <c r="P600" s="632"/>
      <c r="Q600" s="632"/>
      <c r="R600" s="633"/>
      <c r="S600" s="634"/>
      <c r="T600" s="635"/>
      <c r="U600" s="636"/>
      <c r="V600" s="637"/>
      <c r="W600" s="637"/>
    </row>
    <row r="601">
      <c r="A601" s="625"/>
      <c r="B601" s="626"/>
      <c r="C601" s="627"/>
      <c r="D601" s="628"/>
      <c r="E601" s="629"/>
      <c r="F601" s="629"/>
      <c r="G601" s="629"/>
      <c r="H601" s="629"/>
      <c r="I601" s="630"/>
      <c r="J601" s="631"/>
      <c r="K601" s="632"/>
      <c r="L601" s="632"/>
      <c r="M601" s="633"/>
      <c r="N601" s="625"/>
      <c r="O601" s="634"/>
      <c r="P601" s="632"/>
      <c r="Q601" s="632"/>
      <c r="R601" s="633"/>
      <c r="S601" s="634"/>
      <c r="T601" s="635"/>
      <c r="U601" s="636"/>
      <c r="V601" s="637"/>
      <c r="W601" s="637"/>
    </row>
    <row r="602">
      <c r="A602" s="625"/>
      <c r="B602" s="626"/>
      <c r="C602" s="627"/>
      <c r="D602" s="628"/>
      <c r="E602" s="629"/>
      <c r="F602" s="629"/>
      <c r="G602" s="629"/>
      <c r="H602" s="629"/>
      <c r="I602" s="630"/>
      <c r="J602" s="631"/>
      <c r="K602" s="632"/>
      <c r="L602" s="632"/>
      <c r="M602" s="633"/>
      <c r="N602" s="625"/>
      <c r="O602" s="634"/>
      <c r="P602" s="632"/>
      <c r="Q602" s="632"/>
      <c r="R602" s="633"/>
      <c r="S602" s="634"/>
      <c r="T602" s="635"/>
      <c r="U602" s="636"/>
      <c r="V602" s="637"/>
      <c r="W602" s="637"/>
    </row>
    <row r="603">
      <c r="A603" s="625"/>
      <c r="B603" s="626"/>
      <c r="C603" s="627"/>
      <c r="D603" s="628"/>
      <c r="E603" s="629"/>
      <c r="F603" s="629"/>
      <c r="G603" s="629"/>
      <c r="H603" s="629"/>
      <c r="I603" s="630"/>
      <c r="J603" s="631"/>
      <c r="K603" s="632"/>
      <c r="L603" s="632"/>
      <c r="M603" s="633"/>
      <c r="N603" s="625"/>
      <c r="O603" s="634"/>
      <c r="P603" s="632"/>
      <c r="Q603" s="632"/>
      <c r="R603" s="633"/>
      <c r="S603" s="634"/>
      <c r="T603" s="635"/>
      <c r="U603" s="636"/>
      <c r="V603" s="637"/>
      <c r="W603" s="637"/>
    </row>
    <row r="604">
      <c r="A604" s="625"/>
      <c r="B604" s="626"/>
      <c r="C604" s="627"/>
      <c r="D604" s="628"/>
      <c r="E604" s="629"/>
      <c r="F604" s="629"/>
      <c r="G604" s="629"/>
      <c r="H604" s="629"/>
      <c r="I604" s="630"/>
      <c r="J604" s="631"/>
      <c r="K604" s="632"/>
      <c r="L604" s="632"/>
      <c r="M604" s="633"/>
      <c r="N604" s="625"/>
      <c r="O604" s="634"/>
      <c r="P604" s="632"/>
      <c r="Q604" s="632"/>
      <c r="R604" s="633"/>
      <c r="S604" s="634"/>
      <c r="T604" s="635"/>
      <c r="U604" s="636"/>
      <c r="V604" s="637"/>
      <c r="W604" s="637"/>
    </row>
    <row r="605">
      <c r="A605" s="625"/>
      <c r="B605" s="626"/>
      <c r="C605" s="627"/>
      <c r="D605" s="628"/>
      <c r="E605" s="629"/>
      <c r="F605" s="629"/>
      <c r="G605" s="629"/>
      <c r="H605" s="629"/>
      <c r="I605" s="630"/>
      <c r="J605" s="631"/>
      <c r="K605" s="632"/>
      <c r="L605" s="632"/>
      <c r="M605" s="633"/>
      <c r="N605" s="625"/>
      <c r="O605" s="634"/>
      <c r="P605" s="632"/>
      <c r="Q605" s="632"/>
      <c r="R605" s="633"/>
      <c r="S605" s="634"/>
      <c r="T605" s="635"/>
      <c r="U605" s="636"/>
      <c r="V605" s="637"/>
      <c r="W605" s="637"/>
    </row>
    <row r="606">
      <c r="A606" s="625"/>
      <c r="B606" s="626"/>
      <c r="C606" s="627"/>
      <c r="D606" s="628"/>
      <c r="E606" s="629"/>
      <c r="F606" s="629"/>
      <c r="G606" s="629"/>
      <c r="H606" s="629"/>
      <c r="I606" s="630"/>
      <c r="J606" s="631"/>
      <c r="K606" s="632"/>
      <c r="L606" s="632"/>
      <c r="M606" s="633"/>
      <c r="N606" s="625"/>
      <c r="O606" s="634"/>
      <c r="P606" s="632"/>
      <c r="Q606" s="632"/>
      <c r="R606" s="633"/>
      <c r="S606" s="634"/>
      <c r="T606" s="635"/>
      <c r="U606" s="636"/>
      <c r="V606" s="637"/>
      <c r="W606" s="637"/>
    </row>
    <row r="607">
      <c r="A607" s="625"/>
      <c r="B607" s="626"/>
      <c r="C607" s="627"/>
      <c r="D607" s="628"/>
      <c r="E607" s="629"/>
      <c r="F607" s="629"/>
      <c r="G607" s="629"/>
      <c r="H607" s="629"/>
      <c r="I607" s="630"/>
      <c r="J607" s="631"/>
      <c r="K607" s="632"/>
      <c r="L607" s="632"/>
      <c r="M607" s="633"/>
      <c r="N607" s="625"/>
      <c r="O607" s="634"/>
      <c r="P607" s="632"/>
      <c r="Q607" s="632"/>
      <c r="R607" s="633"/>
      <c r="S607" s="634"/>
      <c r="T607" s="635"/>
      <c r="U607" s="636"/>
      <c r="V607" s="637"/>
      <c r="W607" s="637"/>
    </row>
    <row r="608">
      <c r="A608" s="625"/>
      <c r="B608" s="626"/>
      <c r="C608" s="627"/>
      <c r="D608" s="628"/>
      <c r="E608" s="629"/>
      <c r="F608" s="629"/>
      <c r="G608" s="629"/>
      <c r="H608" s="629"/>
      <c r="I608" s="630"/>
      <c r="J608" s="631"/>
      <c r="K608" s="632"/>
      <c r="L608" s="632"/>
      <c r="M608" s="633"/>
      <c r="N608" s="625"/>
      <c r="O608" s="634"/>
      <c r="P608" s="632"/>
      <c r="Q608" s="632"/>
      <c r="R608" s="633"/>
      <c r="S608" s="634"/>
      <c r="T608" s="635"/>
      <c r="U608" s="636"/>
      <c r="V608" s="637"/>
      <c r="W608" s="637"/>
    </row>
    <row r="609">
      <c r="A609" s="625"/>
      <c r="B609" s="626"/>
      <c r="C609" s="627"/>
      <c r="D609" s="628"/>
      <c r="E609" s="629"/>
      <c r="F609" s="629"/>
      <c r="G609" s="629"/>
      <c r="H609" s="629"/>
      <c r="I609" s="630"/>
      <c r="J609" s="631"/>
      <c r="K609" s="632"/>
      <c r="L609" s="632"/>
      <c r="M609" s="633"/>
      <c r="N609" s="625"/>
      <c r="O609" s="634"/>
      <c r="P609" s="632"/>
      <c r="Q609" s="632"/>
      <c r="R609" s="633"/>
      <c r="S609" s="634"/>
      <c r="T609" s="635"/>
      <c r="U609" s="636"/>
      <c r="V609" s="637"/>
      <c r="W609" s="637"/>
    </row>
    <row r="610">
      <c r="A610" s="625"/>
      <c r="B610" s="626"/>
      <c r="C610" s="627"/>
      <c r="D610" s="628"/>
      <c r="E610" s="629"/>
      <c r="F610" s="629"/>
      <c r="G610" s="629"/>
      <c r="H610" s="629"/>
      <c r="I610" s="630"/>
      <c r="J610" s="631"/>
      <c r="K610" s="632"/>
      <c r="L610" s="632"/>
      <c r="M610" s="633"/>
      <c r="N610" s="625"/>
      <c r="O610" s="634"/>
      <c r="P610" s="632"/>
      <c r="Q610" s="632"/>
      <c r="R610" s="633"/>
      <c r="S610" s="634"/>
      <c r="T610" s="635"/>
      <c r="U610" s="636"/>
      <c r="V610" s="637"/>
      <c r="W610" s="637"/>
    </row>
    <row r="611">
      <c r="A611" s="625"/>
      <c r="B611" s="626"/>
      <c r="C611" s="627"/>
      <c r="D611" s="628"/>
      <c r="E611" s="629"/>
      <c r="F611" s="629"/>
      <c r="G611" s="629"/>
      <c r="H611" s="629"/>
      <c r="I611" s="630"/>
      <c r="J611" s="631"/>
      <c r="K611" s="632"/>
      <c r="L611" s="632"/>
      <c r="M611" s="633"/>
      <c r="N611" s="625"/>
      <c r="O611" s="634"/>
      <c r="P611" s="632"/>
      <c r="Q611" s="632"/>
      <c r="R611" s="633"/>
      <c r="S611" s="634"/>
      <c r="T611" s="635"/>
      <c r="U611" s="636"/>
      <c r="V611" s="637"/>
      <c r="W611" s="637"/>
    </row>
    <row r="612">
      <c r="A612" s="625"/>
      <c r="B612" s="626"/>
      <c r="C612" s="627"/>
      <c r="D612" s="628"/>
      <c r="E612" s="629"/>
      <c r="F612" s="629"/>
      <c r="G612" s="629"/>
      <c r="H612" s="629"/>
      <c r="I612" s="630"/>
      <c r="J612" s="631"/>
      <c r="K612" s="632"/>
      <c r="L612" s="632"/>
      <c r="M612" s="633"/>
      <c r="N612" s="625"/>
      <c r="O612" s="634"/>
      <c r="P612" s="632"/>
      <c r="Q612" s="632"/>
      <c r="R612" s="633"/>
      <c r="S612" s="634"/>
      <c r="T612" s="635"/>
      <c r="U612" s="636"/>
      <c r="V612" s="637"/>
      <c r="W612" s="637"/>
    </row>
    <row r="613">
      <c r="A613" s="625"/>
      <c r="B613" s="626"/>
      <c r="C613" s="627"/>
      <c r="D613" s="628"/>
      <c r="E613" s="629"/>
      <c r="F613" s="629"/>
      <c r="G613" s="629"/>
      <c r="H613" s="629"/>
      <c r="I613" s="630"/>
      <c r="J613" s="631"/>
      <c r="K613" s="632"/>
      <c r="L613" s="632"/>
      <c r="M613" s="633"/>
      <c r="N613" s="625"/>
      <c r="O613" s="634"/>
      <c r="P613" s="632"/>
      <c r="Q613" s="632"/>
      <c r="R613" s="633"/>
      <c r="S613" s="634"/>
      <c r="T613" s="635"/>
      <c r="U613" s="636"/>
      <c r="V613" s="637"/>
      <c r="W613" s="637"/>
    </row>
    <row r="614">
      <c r="A614" s="625"/>
      <c r="B614" s="626"/>
      <c r="C614" s="627"/>
      <c r="D614" s="628"/>
      <c r="E614" s="629"/>
      <c r="F614" s="629"/>
      <c r="G614" s="629"/>
      <c r="H614" s="629"/>
      <c r="I614" s="630"/>
      <c r="J614" s="631"/>
      <c r="K614" s="632"/>
      <c r="L614" s="632"/>
      <c r="M614" s="633"/>
      <c r="N614" s="625"/>
      <c r="O614" s="634"/>
      <c r="P614" s="632"/>
      <c r="Q614" s="632"/>
      <c r="R614" s="633"/>
      <c r="S614" s="634"/>
      <c r="T614" s="635"/>
      <c r="U614" s="636"/>
      <c r="V614" s="637"/>
      <c r="W614" s="637"/>
    </row>
    <row r="615">
      <c r="A615" s="625"/>
      <c r="B615" s="626"/>
      <c r="C615" s="627"/>
      <c r="D615" s="628"/>
      <c r="E615" s="629"/>
      <c r="F615" s="629"/>
      <c r="G615" s="629"/>
      <c r="H615" s="629"/>
      <c r="I615" s="630"/>
      <c r="J615" s="631"/>
      <c r="K615" s="632"/>
      <c r="L615" s="632"/>
      <c r="M615" s="633"/>
      <c r="N615" s="625"/>
      <c r="O615" s="634"/>
      <c r="P615" s="632"/>
      <c r="Q615" s="632"/>
      <c r="R615" s="633"/>
      <c r="S615" s="634"/>
      <c r="T615" s="635"/>
      <c r="U615" s="636"/>
      <c r="V615" s="637"/>
      <c r="W615" s="637"/>
    </row>
    <row r="616">
      <c r="A616" s="625"/>
      <c r="B616" s="626"/>
      <c r="C616" s="627"/>
      <c r="D616" s="628"/>
      <c r="E616" s="629"/>
      <c r="F616" s="629"/>
      <c r="G616" s="629"/>
      <c r="H616" s="629"/>
      <c r="I616" s="630"/>
      <c r="J616" s="631"/>
      <c r="K616" s="632"/>
      <c r="L616" s="632"/>
      <c r="M616" s="633"/>
      <c r="N616" s="625"/>
      <c r="O616" s="634"/>
      <c r="P616" s="632"/>
      <c r="Q616" s="632"/>
      <c r="R616" s="633"/>
      <c r="S616" s="634"/>
      <c r="T616" s="635"/>
      <c r="U616" s="636"/>
      <c r="V616" s="637"/>
      <c r="W616" s="637"/>
    </row>
    <row r="617">
      <c r="A617" s="625"/>
      <c r="B617" s="626"/>
      <c r="C617" s="627"/>
      <c r="D617" s="628"/>
      <c r="E617" s="629"/>
      <c r="F617" s="629"/>
      <c r="G617" s="629"/>
      <c r="H617" s="629"/>
      <c r="I617" s="630"/>
      <c r="J617" s="631"/>
      <c r="K617" s="632"/>
      <c r="L617" s="632"/>
      <c r="M617" s="633"/>
      <c r="N617" s="625"/>
      <c r="O617" s="634"/>
      <c r="P617" s="632"/>
      <c r="Q617" s="632"/>
      <c r="R617" s="633"/>
      <c r="S617" s="634"/>
      <c r="T617" s="635"/>
      <c r="U617" s="636"/>
      <c r="V617" s="637"/>
      <c r="W617" s="637"/>
    </row>
    <row r="618">
      <c r="A618" s="625"/>
      <c r="B618" s="626"/>
      <c r="C618" s="627"/>
      <c r="D618" s="628"/>
      <c r="E618" s="629"/>
      <c r="F618" s="629"/>
      <c r="G618" s="629"/>
      <c r="H618" s="629"/>
      <c r="I618" s="630"/>
      <c r="J618" s="631"/>
      <c r="K618" s="632"/>
      <c r="L618" s="632"/>
      <c r="M618" s="633"/>
      <c r="N618" s="625"/>
      <c r="O618" s="634"/>
      <c r="P618" s="632"/>
      <c r="Q618" s="632"/>
      <c r="R618" s="633"/>
      <c r="S618" s="634"/>
      <c r="T618" s="635"/>
      <c r="U618" s="636"/>
      <c r="V618" s="637"/>
      <c r="W618" s="637"/>
    </row>
    <row r="619">
      <c r="A619" s="625"/>
      <c r="B619" s="626"/>
      <c r="C619" s="627"/>
      <c r="D619" s="628"/>
      <c r="E619" s="629"/>
      <c r="F619" s="629"/>
      <c r="G619" s="629"/>
      <c r="H619" s="629"/>
      <c r="I619" s="630"/>
      <c r="J619" s="631"/>
      <c r="K619" s="632"/>
      <c r="L619" s="632"/>
      <c r="M619" s="633"/>
      <c r="N619" s="625"/>
      <c r="O619" s="634"/>
      <c r="P619" s="632"/>
      <c r="Q619" s="632"/>
      <c r="R619" s="633"/>
      <c r="S619" s="634"/>
      <c r="T619" s="635"/>
      <c r="U619" s="636"/>
      <c r="V619" s="637"/>
      <c r="W619" s="637"/>
    </row>
    <row r="620">
      <c r="A620" s="625"/>
      <c r="B620" s="626"/>
      <c r="C620" s="627"/>
      <c r="D620" s="628"/>
      <c r="E620" s="629"/>
      <c r="F620" s="629"/>
      <c r="G620" s="629"/>
      <c r="H620" s="629"/>
      <c r="I620" s="630"/>
      <c r="J620" s="631"/>
      <c r="K620" s="632"/>
      <c r="L620" s="632"/>
      <c r="M620" s="633"/>
      <c r="N620" s="625"/>
      <c r="O620" s="634"/>
      <c r="P620" s="632"/>
      <c r="Q620" s="632"/>
      <c r="R620" s="633"/>
      <c r="S620" s="634"/>
      <c r="T620" s="635"/>
      <c r="U620" s="636"/>
      <c r="V620" s="637"/>
      <c r="W620" s="637"/>
    </row>
    <row r="621">
      <c r="A621" s="625"/>
      <c r="B621" s="626"/>
      <c r="C621" s="627"/>
      <c r="D621" s="628"/>
      <c r="E621" s="629"/>
      <c r="F621" s="629"/>
      <c r="G621" s="629"/>
      <c r="H621" s="629"/>
      <c r="I621" s="630"/>
      <c r="J621" s="631"/>
      <c r="K621" s="632"/>
      <c r="L621" s="632"/>
      <c r="M621" s="633"/>
      <c r="N621" s="625"/>
      <c r="O621" s="634"/>
      <c r="P621" s="632"/>
      <c r="Q621" s="632"/>
      <c r="R621" s="633"/>
      <c r="S621" s="634"/>
      <c r="T621" s="635"/>
      <c r="U621" s="636"/>
      <c r="V621" s="637"/>
      <c r="W621" s="637"/>
    </row>
    <row r="622">
      <c r="A622" s="625"/>
      <c r="B622" s="626"/>
      <c r="C622" s="627"/>
      <c r="D622" s="628"/>
      <c r="E622" s="629"/>
      <c r="F622" s="629"/>
      <c r="G622" s="629"/>
      <c r="H622" s="629"/>
      <c r="I622" s="630"/>
      <c r="J622" s="631"/>
      <c r="K622" s="632"/>
      <c r="L622" s="632"/>
      <c r="M622" s="633"/>
      <c r="N622" s="625"/>
      <c r="O622" s="634"/>
      <c r="P622" s="632"/>
      <c r="Q622" s="632"/>
      <c r="R622" s="633"/>
      <c r="S622" s="634"/>
      <c r="T622" s="635"/>
      <c r="U622" s="636"/>
      <c r="V622" s="637"/>
      <c r="W622" s="637"/>
    </row>
    <row r="623">
      <c r="A623" s="625"/>
      <c r="B623" s="626"/>
      <c r="C623" s="627"/>
      <c r="D623" s="628"/>
      <c r="E623" s="629"/>
      <c r="F623" s="629"/>
      <c r="G623" s="629"/>
      <c r="H623" s="629"/>
      <c r="I623" s="630"/>
      <c r="J623" s="631"/>
      <c r="K623" s="632"/>
      <c r="L623" s="632"/>
      <c r="M623" s="633"/>
      <c r="N623" s="625"/>
      <c r="O623" s="634"/>
      <c r="P623" s="632"/>
      <c r="Q623" s="632"/>
      <c r="R623" s="633"/>
      <c r="S623" s="634"/>
      <c r="T623" s="635"/>
      <c r="U623" s="636"/>
      <c r="V623" s="637"/>
      <c r="W623" s="637"/>
    </row>
    <row r="624">
      <c r="A624" s="625"/>
      <c r="B624" s="626"/>
      <c r="C624" s="627"/>
      <c r="D624" s="628"/>
      <c r="E624" s="629"/>
      <c r="F624" s="629"/>
      <c r="G624" s="629"/>
      <c r="H624" s="629"/>
      <c r="I624" s="630"/>
      <c r="J624" s="631"/>
      <c r="K624" s="632"/>
      <c r="L624" s="632"/>
      <c r="M624" s="633"/>
      <c r="N624" s="625"/>
      <c r="O624" s="634"/>
      <c r="P624" s="632"/>
      <c r="Q624" s="632"/>
      <c r="R624" s="633"/>
      <c r="S624" s="634"/>
      <c r="T624" s="635"/>
      <c r="U624" s="636"/>
      <c r="V624" s="637"/>
      <c r="W624" s="637"/>
    </row>
    <row r="625">
      <c r="A625" s="625"/>
      <c r="B625" s="626"/>
      <c r="C625" s="627"/>
      <c r="D625" s="628"/>
      <c r="E625" s="629"/>
      <c r="F625" s="629"/>
      <c r="G625" s="629"/>
      <c r="H625" s="629"/>
      <c r="I625" s="630"/>
      <c r="J625" s="631"/>
      <c r="K625" s="632"/>
      <c r="L625" s="632"/>
      <c r="M625" s="633"/>
      <c r="N625" s="625"/>
      <c r="O625" s="634"/>
      <c r="P625" s="632"/>
      <c r="Q625" s="632"/>
      <c r="R625" s="633"/>
      <c r="S625" s="634"/>
      <c r="T625" s="635"/>
      <c r="U625" s="636"/>
      <c r="V625" s="637"/>
      <c r="W625" s="637"/>
    </row>
    <row r="626">
      <c r="A626" s="625"/>
      <c r="B626" s="626"/>
      <c r="C626" s="627"/>
      <c r="D626" s="628"/>
      <c r="E626" s="629"/>
      <c r="F626" s="629"/>
      <c r="G626" s="629"/>
      <c r="H626" s="629"/>
      <c r="I626" s="630"/>
      <c r="J626" s="631"/>
      <c r="K626" s="632"/>
      <c r="L626" s="632"/>
      <c r="M626" s="633"/>
      <c r="N626" s="625"/>
      <c r="O626" s="634"/>
      <c r="P626" s="632"/>
      <c r="Q626" s="632"/>
      <c r="R626" s="633"/>
      <c r="S626" s="634"/>
      <c r="T626" s="635"/>
      <c r="U626" s="636"/>
      <c r="V626" s="637"/>
      <c r="W626" s="637"/>
    </row>
    <row r="627">
      <c r="A627" s="625"/>
      <c r="B627" s="626"/>
      <c r="C627" s="627"/>
      <c r="D627" s="628"/>
      <c r="E627" s="629"/>
      <c r="F627" s="629"/>
      <c r="G627" s="629"/>
      <c r="H627" s="629"/>
      <c r="I627" s="630"/>
      <c r="J627" s="631"/>
      <c r="K627" s="632"/>
      <c r="L627" s="632"/>
      <c r="M627" s="633"/>
      <c r="N627" s="625"/>
      <c r="O627" s="634"/>
      <c r="P627" s="632"/>
      <c r="Q627" s="632"/>
      <c r="R627" s="633"/>
      <c r="S627" s="634"/>
      <c r="T627" s="635"/>
      <c r="U627" s="636"/>
      <c r="V627" s="637"/>
      <c r="W627" s="637"/>
    </row>
    <row r="628">
      <c r="A628" s="625"/>
      <c r="B628" s="626"/>
      <c r="C628" s="627"/>
      <c r="D628" s="628"/>
      <c r="E628" s="629"/>
      <c r="F628" s="629"/>
      <c r="G628" s="629"/>
      <c r="H628" s="629"/>
      <c r="I628" s="630"/>
      <c r="J628" s="631"/>
      <c r="K628" s="632"/>
      <c r="L628" s="632"/>
      <c r="M628" s="633"/>
      <c r="N628" s="625"/>
      <c r="O628" s="634"/>
      <c r="P628" s="632"/>
      <c r="Q628" s="632"/>
      <c r="R628" s="633"/>
      <c r="S628" s="634"/>
      <c r="T628" s="635"/>
      <c r="U628" s="636"/>
      <c r="V628" s="637"/>
      <c r="W628" s="637"/>
    </row>
    <row r="629">
      <c r="A629" s="625"/>
      <c r="B629" s="626"/>
      <c r="C629" s="627"/>
      <c r="D629" s="628"/>
      <c r="E629" s="629"/>
      <c r="F629" s="629"/>
      <c r="G629" s="629"/>
      <c r="H629" s="629"/>
      <c r="I629" s="630"/>
      <c r="J629" s="631"/>
      <c r="K629" s="632"/>
      <c r="L629" s="632"/>
      <c r="M629" s="633"/>
      <c r="N629" s="625"/>
      <c r="O629" s="634"/>
      <c r="P629" s="632"/>
      <c r="Q629" s="632"/>
      <c r="R629" s="633"/>
      <c r="S629" s="634"/>
      <c r="T629" s="635"/>
      <c r="U629" s="636"/>
      <c r="V629" s="637"/>
      <c r="W629" s="637"/>
    </row>
    <row r="630">
      <c r="A630" s="625"/>
      <c r="B630" s="626"/>
      <c r="C630" s="627"/>
      <c r="D630" s="628"/>
      <c r="E630" s="629"/>
      <c r="F630" s="629"/>
      <c r="G630" s="629"/>
      <c r="H630" s="629"/>
      <c r="I630" s="630"/>
      <c r="J630" s="631"/>
      <c r="K630" s="632"/>
      <c r="L630" s="632"/>
      <c r="M630" s="633"/>
      <c r="N630" s="625"/>
      <c r="O630" s="634"/>
      <c r="P630" s="632"/>
      <c r="Q630" s="632"/>
      <c r="R630" s="633"/>
      <c r="S630" s="634"/>
      <c r="T630" s="635"/>
      <c r="U630" s="636"/>
      <c r="V630" s="637"/>
      <c r="W630" s="637"/>
    </row>
    <row r="631">
      <c r="A631" s="625"/>
      <c r="B631" s="626"/>
      <c r="C631" s="627"/>
      <c r="D631" s="628"/>
      <c r="E631" s="629"/>
      <c r="F631" s="629"/>
      <c r="G631" s="629"/>
      <c r="H631" s="629"/>
      <c r="I631" s="630"/>
      <c r="J631" s="631"/>
      <c r="K631" s="632"/>
      <c r="L631" s="632"/>
      <c r="M631" s="633"/>
      <c r="N631" s="625"/>
      <c r="O631" s="634"/>
      <c r="P631" s="632"/>
      <c r="Q631" s="632"/>
      <c r="R631" s="633"/>
      <c r="S631" s="634"/>
      <c r="T631" s="635"/>
      <c r="U631" s="636"/>
      <c r="V631" s="637"/>
      <c r="W631" s="637"/>
    </row>
    <row r="632">
      <c r="A632" s="625"/>
      <c r="B632" s="626"/>
      <c r="C632" s="627"/>
      <c r="D632" s="628"/>
      <c r="E632" s="629"/>
      <c r="F632" s="629"/>
      <c r="G632" s="629"/>
      <c r="H632" s="629"/>
      <c r="I632" s="630"/>
      <c r="J632" s="631"/>
      <c r="K632" s="632"/>
      <c r="L632" s="632"/>
      <c r="M632" s="633"/>
      <c r="N632" s="625"/>
      <c r="O632" s="634"/>
      <c r="P632" s="632"/>
      <c r="Q632" s="632"/>
      <c r="R632" s="633"/>
      <c r="S632" s="634"/>
      <c r="T632" s="635"/>
      <c r="U632" s="636"/>
      <c r="V632" s="637"/>
      <c r="W632" s="637"/>
    </row>
    <row r="633">
      <c r="A633" s="625"/>
      <c r="B633" s="626"/>
      <c r="C633" s="627"/>
      <c r="D633" s="628"/>
      <c r="E633" s="629"/>
      <c r="F633" s="629"/>
      <c r="G633" s="629"/>
      <c r="H633" s="629"/>
      <c r="I633" s="630"/>
      <c r="J633" s="631"/>
      <c r="K633" s="632"/>
      <c r="L633" s="632"/>
      <c r="M633" s="633"/>
      <c r="N633" s="625"/>
      <c r="O633" s="634"/>
      <c r="P633" s="632"/>
      <c r="Q633" s="632"/>
      <c r="R633" s="633"/>
      <c r="S633" s="634"/>
      <c r="T633" s="635"/>
      <c r="U633" s="636"/>
      <c r="V633" s="637"/>
      <c r="W633" s="637"/>
    </row>
    <row r="634">
      <c r="A634" s="625"/>
      <c r="B634" s="626"/>
      <c r="C634" s="627"/>
      <c r="D634" s="628"/>
      <c r="E634" s="629"/>
      <c r="F634" s="629"/>
      <c r="G634" s="629"/>
      <c r="H634" s="629"/>
      <c r="I634" s="630"/>
      <c r="J634" s="631"/>
      <c r="K634" s="632"/>
      <c r="L634" s="632"/>
      <c r="M634" s="633"/>
      <c r="N634" s="625"/>
      <c r="O634" s="634"/>
      <c r="P634" s="632"/>
      <c r="Q634" s="632"/>
      <c r="R634" s="633"/>
      <c r="S634" s="634"/>
      <c r="T634" s="635"/>
      <c r="U634" s="636"/>
      <c r="V634" s="637"/>
      <c r="W634" s="637"/>
    </row>
    <row r="635">
      <c r="A635" s="625"/>
      <c r="B635" s="626"/>
      <c r="C635" s="627"/>
      <c r="D635" s="628"/>
      <c r="E635" s="629"/>
      <c r="F635" s="629"/>
      <c r="G635" s="629"/>
      <c r="H635" s="629"/>
      <c r="I635" s="630"/>
      <c r="J635" s="631"/>
      <c r="K635" s="632"/>
      <c r="L635" s="632"/>
      <c r="M635" s="633"/>
      <c r="N635" s="625"/>
      <c r="O635" s="634"/>
      <c r="P635" s="632"/>
      <c r="Q635" s="632"/>
      <c r="R635" s="633"/>
      <c r="S635" s="634"/>
      <c r="T635" s="635"/>
      <c r="U635" s="636"/>
      <c r="V635" s="637"/>
      <c r="W635" s="637"/>
    </row>
    <row r="636">
      <c r="A636" s="625"/>
      <c r="B636" s="626"/>
      <c r="C636" s="627"/>
      <c r="D636" s="628"/>
      <c r="E636" s="629"/>
      <c r="F636" s="629"/>
      <c r="G636" s="629"/>
      <c r="H636" s="629"/>
      <c r="I636" s="630"/>
      <c r="J636" s="631"/>
      <c r="K636" s="632"/>
      <c r="L636" s="632"/>
      <c r="M636" s="633"/>
      <c r="N636" s="625"/>
      <c r="O636" s="634"/>
      <c r="P636" s="632"/>
      <c r="Q636" s="632"/>
      <c r="R636" s="633"/>
      <c r="S636" s="634"/>
      <c r="T636" s="635"/>
      <c r="U636" s="636"/>
      <c r="V636" s="637"/>
      <c r="W636" s="637"/>
    </row>
    <row r="637">
      <c r="A637" s="625"/>
      <c r="B637" s="626"/>
      <c r="C637" s="627"/>
      <c r="D637" s="628"/>
      <c r="E637" s="629"/>
      <c r="F637" s="629"/>
      <c r="G637" s="629"/>
      <c r="H637" s="629"/>
      <c r="I637" s="630"/>
      <c r="J637" s="631"/>
      <c r="K637" s="632"/>
      <c r="L637" s="632"/>
      <c r="M637" s="633"/>
      <c r="N637" s="625"/>
      <c r="O637" s="634"/>
      <c r="P637" s="632"/>
      <c r="Q637" s="632"/>
      <c r="R637" s="633"/>
      <c r="S637" s="634"/>
      <c r="T637" s="635"/>
      <c r="U637" s="636"/>
      <c r="V637" s="637"/>
      <c r="W637" s="637"/>
    </row>
    <row r="638">
      <c r="A638" s="625"/>
      <c r="B638" s="626"/>
      <c r="C638" s="627"/>
      <c r="D638" s="628"/>
      <c r="E638" s="629"/>
      <c r="F638" s="629"/>
      <c r="G638" s="629"/>
      <c r="H638" s="629"/>
      <c r="I638" s="630"/>
      <c r="J638" s="631"/>
      <c r="K638" s="632"/>
      <c r="L638" s="632"/>
      <c r="M638" s="633"/>
      <c r="N638" s="625"/>
      <c r="O638" s="634"/>
      <c r="P638" s="632"/>
      <c r="Q638" s="632"/>
      <c r="R638" s="633"/>
      <c r="S638" s="634"/>
      <c r="T638" s="635"/>
      <c r="U638" s="636"/>
      <c r="V638" s="637"/>
      <c r="W638" s="637"/>
    </row>
    <row r="639">
      <c r="A639" s="625"/>
      <c r="B639" s="626"/>
      <c r="C639" s="627"/>
      <c r="D639" s="628"/>
      <c r="E639" s="629"/>
      <c r="F639" s="629"/>
      <c r="G639" s="629"/>
      <c r="H639" s="629"/>
      <c r="I639" s="630"/>
      <c r="J639" s="631"/>
      <c r="K639" s="632"/>
      <c r="L639" s="632"/>
      <c r="M639" s="633"/>
      <c r="N639" s="625"/>
      <c r="O639" s="634"/>
      <c r="P639" s="632"/>
      <c r="Q639" s="632"/>
      <c r="R639" s="633"/>
      <c r="S639" s="634"/>
      <c r="T639" s="635"/>
      <c r="U639" s="636"/>
      <c r="V639" s="637"/>
      <c r="W639" s="637"/>
    </row>
    <row r="640">
      <c r="A640" s="625"/>
      <c r="B640" s="626"/>
      <c r="C640" s="627"/>
      <c r="D640" s="628"/>
      <c r="E640" s="629"/>
      <c r="F640" s="629"/>
      <c r="G640" s="629"/>
      <c r="H640" s="629"/>
      <c r="I640" s="630"/>
      <c r="J640" s="631"/>
      <c r="K640" s="632"/>
      <c r="L640" s="632"/>
      <c r="M640" s="633"/>
      <c r="N640" s="625"/>
      <c r="O640" s="634"/>
      <c r="P640" s="632"/>
      <c r="Q640" s="632"/>
      <c r="R640" s="633"/>
      <c r="S640" s="634"/>
      <c r="T640" s="635"/>
      <c r="U640" s="636"/>
      <c r="V640" s="637"/>
      <c r="W640" s="637"/>
    </row>
    <row r="641">
      <c r="A641" s="625"/>
      <c r="B641" s="626"/>
      <c r="C641" s="627"/>
      <c r="D641" s="628"/>
      <c r="E641" s="629"/>
      <c r="F641" s="629"/>
      <c r="G641" s="629"/>
      <c r="H641" s="629"/>
      <c r="I641" s="630"/>
      <c r="J641" s="631"/>
      <c r="K641" s="632"/>
      <c r="L641" s="632"/>
      <c r="M641" s="633"/>
      <c r="N641" s="625"/>
      <c r="O641" s="634"/>
      <c r="P641" s="632"/>
      <c r="Q641" s="632"/>
      <c r="R641" s="633"/>
      <c r="S641" s="634"/>
      <c r="T641" s="635"/>
      <c r="U641" s="636"/>
      <c r="V641" s="637"/>
      <c r="W641" s="637"/>
    </row>
    <row r="642">
      <c r="A642" s="625"/>
      <c r="B642" s="626"/>
      <c r="C642" s="627"/>
      <c r="D642" s="628"/>
      <c r="E642" s="629"/>
      <c r="F642" s="629"/>
      <c r="G642" s="629"/>
      <c r="H642" s="629"/>
      <c r="I642" s="630"/>
      <c r="J642" s="631"/>
      <c r="K642" s="632"/>
      <c r="L642" s="632"/>
      <c r="M642" s="633"/>
      <c r="N642" s="625"/>
      <c r="O642" s="634"/>
      <c r="P642" s="632"/>
      <c r="Q642" s="632"/>
      <c r="R642" s="633"/>
      <c r="S642" s="634"/>
      <c r="T642" s="635"/>
      <c r="U642" s="636"/>
      <c r="V642" s="637"/>
      <c r="W642" s="637"/>
    </row>
    <row r="643">
      <c r="A643" s="625"/>
      <c r="B643" s="626"/>
      <c r="C643" s="627"/>
      <c r="D643" s="628"/>
      <c r="E643" s="629"/>
      <c r="F643" s="629"/>
      <c r="G643" s="629"/>
      <c r="H643" s="629"/>
      <c r="I643" s="630"/>
      <c r="J643" s="631"/>
      <c r="K643" s="632"/>
      <c r="L643" s="632"/>
      <c r="M643" s="633"/>
      <c r="N643" s="625"/>
      <c r="O643" s="634"/>
      <c r="P643" s="632"/>
      <c r="Q643" s="632"/>
      <c r="R643" s="633"/>
      <c r="S643" s="634"/>
      <c r="T643" s="635"/>
      <c r="U643" s="636"/>
      <c r="V643" s="637"/>
      <c r="W643" s="637"/>
    </row>
    <row r="644">
      <c r="A644" s="625"/>
      <c r="B644" s="626"/>
      <c r="C644" s="627"/>
      <c r="D644" s="628"/>
      <c r="E644" s="629"/>
      <c r="F644" s="629"/>
      <c r="G644" s="629"/>
      <c r="H644" s="629"/>
      <c r="I644" s="630"/>
      <c r="J644" s="631"/>
      <c r="K644" s="632"/>
      <c r="L644" s="632"/>
      <c r="M644" s="633"/>
      <c r="N644" s="625"/>
      <c r="O644" s="634"/>
      <c r="P644" s="632"/>
      <c r="Q644" s="632"/>
      <c r="R644" s="633"/>
      <c r="S644" s="634"/>
      <c r="T644" s="635"/>
      <c r="U644" s="636"/>
      <c r="V644" s="637"/>
      <c r="W644" s="637"/>
    </row>
    <row r="645">
      <c r="A645" s="625"/>
      <c r="B645" s="626"/>
      <c r="C645" s="627"/>
      <c r="D645" s="628"/>
      <c r="E645" s="629"/>
      <c r="F645" s="629"/>
      <c r="G645" s="629"/>
      <c r="H645" s="629"/>
      <c r="I645" s="630"/>
      <c r="J645" s="631"/>
      <c r="K645" s="632"/>
      <c r="L645" s="632"/>
      <c r="M645" s="633"/>
      <c r="N645" s="625"/>
      <c r="O645" s="634"/>
      <c r="P645" s="632"/>
      <c r="Q645" s="632"/>
      <c r="R645" s="633"/>
      <c r="S645" s="634"/>
      <c r="T645" s="635"/>
      <c r="U645" s="636"/>
      <c r="V645" s="637"/>
      <c r="W645" s="637"/>
    </row>
    <row r="646">
      <c r="A646" s="625"/>
      <c r="B646" s="626"/>
      <c r="C646" s="627"/>
      <c r="D646" s="628"/>
      <c r="E646" s="629"/>
      <c r="F646" s="629"/>
      <c r="G646" s="629"/>
      <c r="H646" s="629"/>
      <c r="I646" s="630"/>
      <c r="J646" s="631"/>
      <c r="K646" s="632"/>
      <c r="L646" s="632"/>
      <c r="M646" s="633"/>
      <c r="N646" s="625"/>
      <c r="O646" s="634"/>
      <c r="P646" s="632"/>
      <c r="Q646" s="632"/>
      <c r="R646" s="633"/>
      <c r="S646" s="634"/>
      <c r="T646" s="635"/>
      <c r="U646" s="636"/>
      <c r="V646" s="637"/>
      <c r="W646" s="637"/>
    </row>
    <row r="647">
      <c r="A647" s="625"/>
      <c r="B647" s="626"/>
      <c r="C647" s="627"/>
      <c r="D647" s="628"/>
      <c r="E647" s="629"/>
      <c r="F647" s="629"/>
      <c r="G647" s="629"/>
      <c r="H647" s="629"/>
      <c r="I647" s="630"/>
      <c r="J647" s="631"/>
      <c r="K647" s="632"/>
      <c r="L647" s="632"/>
      <c r="M647" s="633"/>
      <c r="N647" s="625"/>
      <c r="O647" s="634"/>
      <c r="P647" s="632"/>
      <c r="Q647" s="632"/>
      <c r="R647" s="633"/>
      <c r="S647" s="634"/>
      <c r="T647" s="635"/>
      <c r="U647" s="636"/>
      <c r="V647" s="637"/>
      <c r="W647" s="637"/>
    </row>
    <row r="648">
      <c r="A648" s="625"/>
      <c r="B648" s="626"/>
      <c r="C648" s="627"/>
      <c r="D648" s="628"/>
      <c r="E648" s="629"/>
      <c r="F648" s="629"/>
      <c r="G648" s="629"/>
      <c r="H648" s="629"/>
      <c r="I648" s="630"/>
      <c r="J648" s="631"/>
      <c r="K648" s="632"/>
      <c r="L648" s="632"/>
      <c r="M648" s="633"/>
      <c r="N648" s="625"/>
      <c r="O648" s="634"/>
      <c r="P648" s="632"/>
      <c r="Q648" s="632"/>
      <c r="R648" s="633"/>
      <c r="S648" s="634"/>
      <c r="T648" s="635"/>
      <c r="U648" s="636"/>
      <c r="V648" s="637"/>
      <c r="W648" s="637"/>
    </row>
    <row r="649">
      <c r="A649" s="625"/>
      <c r="B649" s="626"/>
      <c r="C649" s="627"/>
      <c r="D649" s="628"/>
      <c r="E649" s="629"/>
      <c r="F649" s="629"/>
      <c r="G649" s="629"/>
      <c r="H649" s="629"/>
      <c r="I649" s="630"/>
      <c r="J649" s="631"/>
      <c r="K649" s="632"/>
      <c r="L649" s="632"/>
      <c r="M649" s="633"/>
      <c r="N649" s="625"/>
      <c r="O649" s="634"/>
      <c r="P649" s="632"/>
      <c r="Q649" s="632"/>
      <c r="R649" s="633"/>
      <c r="S649" s="634"/>
      <c r="T649" s="635"/>
      <c r="U649" s="636"/>
      <c r="V649" s="637"/>
      <c r="W649" s="637"/>
    </row>
    <row r="650">
      <c r="A650" s="625"/>
      <c r="B650" s="626"/>
      <c r="C650" s="627"/>
      <c r="D650" s="628"/>
      <c r="E650" s="629"/>
      <c r="F650" s="629"/>
      <c r="G650" s="629"/>
      <c r="H650" s="629"/>
      <c r="I650" s="630"/>
      <c r="J650" s="631"/>
      <c r="K650" s="632"/>
      <c r="L650" s="632"/>
      <c r="M650" s="633"/>
      <c r="N650" s="625"/>
      <c r="O650" s="634"/>
      <c r="P650" s="632"/>
      <c r="Q650" s="632"/>
      <c r="R650" s="633"/>
      <c r="S650" s="634"/>
      <c r="T650" s="635"/>
      <c r="U650" s="636"/>
      <c r="V650" s="637"/>
      <c r="W650" s="637"/>
    </row>
    <row r="651">
      <c r="A651" s="625"/>
      <c r="B651" s="626"/>
      <c r="C651" s="627"/>
      <c r="D651" s="628"/>
      <c r="E651" s="629"/>
      <c r="F651" s="629"/>
      <c r="G651" s="629"/>
      <c r="H651" s="629"/>
      <c r="I651" s="630"/>
      <c r="J651" s="631"/>
      <c r="K651" s="632"/>
      <c r="L651" s="632"/>
      <c r="M651" s="633"/>
      <c r="N651" s="625"/>
      <c r="O651" s="634"/>
      <c r="P651" s="632"/>
      <c r="Q651" s="632"/>
      <c r="R651" s="633"/>
      <c r="S651" s="634"/>
      <c r="T651" s="635"/>
      <c r="U651" s="636"/>
      <c r="V651" s="637"/>
      <c r="W651" s="637"/>
    </row>
    <row r="652">
      <c r="A652" s="625"/>
      <c r="B652" s="626"/>
      <c r="C652" s="627"/>
      <c r="D652" s="628"/>
      <c r="E652" s="629"/>
      <c r="F652" s="629"/>
      <c r="G652" s="629"/>
      <c r="H652" s="629"/>
      <c r="I652" s="630"/>
      <c r="J652" s="631"/>
      <c r="K652" s="632"/>
      <c r="L652" s="632"/>
      <c r="M652" s="633"/>
      <c r="N652" s="625"/>
      <c r="O652" s="634"/>
      <c r="P652" s="632"/>
      <c r="Q652" s="632"/>
      <c r="R652" s="633"/>
      <c r="S652" s="634"/>
      <c r="T652" s="635"/>
      <c r="U652" s="636"/>
      <c r="V652" s="637"/>
      <c r="W652" s="637"/>
    </row>
    <row r="653">
      <c r="A653" s="625"/>
      <c r="B653" s="626"/>
      <c r="C653" s="627"/>
      <c r="D653" s="628"/>
      <c r="E653" s="629"/>
      <c r="F653" s="629"/>
      <c r="G653" s="629"/>
      <c r="H653" s="629"/>
      <c r="I653" s="630"/>
      <c r="J653" s="631"/>
      <c r="K653" s="632"/>
      <c r="L653" s="632"/>
      <c r="M653" s="633"/>
      <c r="N653" s="625"/>
      <c r="O653" s="634"/>
      <c r="P653" s="632"/>
      <c r="Q653" s="632"/>
      <c r="R653" s="633"/>
      <c r="S653" s="634"/>
      <c r="T653" s="635"/>
      <c r="U653" s="636"/>
      <c r="V653" s="637"/>
      <c r="W653" s="637"/>
    </row>
    <row r="654">
      <c r="A654" s="625"/>
      <c r="B654" s="626"/>
      <c r="C654" s="627"/>
      <c r="D654" s="628"/>
      <c r="E654" s="629"/>
      <c r="F654" s="629"/>
      <c r="G654" s="629"/>
      <c r="H654" s="629"/>
      <c r="I654" s="630"/>
      <c r="J654" s="631"/>
      <c r="K654" s="632"/>
      <c r="L654" s="632"/>
      <c r="M654" s="633"/>
      <c r="N654" s="625"/>
      <c r="O654" s="634"/>
      <c r="P654" s="632"/>
      <c r="Q654" s="632"/>
      <c r="R654" s="633"/>
      <c r="S654" s="634"/>
      <c r="T654" s="635"/>
      <c r="U654" s="636"/>
      <c r="V654" s="637"/>
      <c r="W654" s="637"/>
    </row>
    <row r="655">
      <c r="A655" s="625"/>
      <c r="B655" s="626"/>
      <c r="C655" s="627"/>
      <c r="D655" s="628"/>
      <c r="E655" s="629"/>
      <c r="F655" s="629"/>
      <c r="G655" s="629"/>
      <c r="H655" s="629"/>
      <c r="I655" s="630"/>
      <c r="J655" s="631"/>
      <c r="K655" s="632"/>
      <c r="L655" s="632"/>
      <c r="M655" s="633"/>
      <c r="N655" s="625"/>
      <c r="O655" s="634"/>
      <c r="P655" s="632"/>
      <c r="Q655" s="632"/>
      <c r="R655" s="633"/>
      <c r="S655" s="634"/>
      <c r="T655" s="635"/>
      <c r="U655" s="636"/>
      <c r="V655" s="637"/>
      <c r="W655" s="637"/>
    </row>
    <row r="656">
      <c r="A656" s="625"/>
      <c r="B656" s="626"/>
      <c r="C656" s="627"/>
      <c r="D656" s="628"/>
      <c r="E656" s="629"/>
      <c r="F656" s="629"/>
      <c r="G656" s="629"/>
      <c r="H656" s="629"/>
      <c r="I656" s="630"/>
      <c r="J656" s="631"/>
      <c r="K656" s="632"/>
      <c r="L656" s="632"/>
      <c r="M656" s="633"/>
      <c r="N656" s="625"/>
      <c r="O656" s="634"/>
      <c r="P656" s="632"/>
      <c r="Q656" s="632"/>
      <c r="R656" s="633"/>
      <c r="S656" s="634"/>
      <c r="T656" s="635"/>
      <c r="U656" s="636"/>
      <c r="V656" s="637"/>
      <c r="W656" s="637"/>
    </row>
    <row r="657">
      <c r="A657" s="625"/>
      <c r="B657" s="626"/>
      <c r="C657" s="627"/>
      <c r="D657" s="628"/>
      <c r="E657" s="629"/>
      <c r="F657" s="629"/>
      <c r="G657" s="629"/>
      <c r="H657" s="629"/>
      <c r="I657" s="630"/>
      <c r="J657" s="631"/>
      <c r="K657" s="632"/>
      <c r="L657" s="632"/>
      <c r="M657" s="633"/>
      <c r="N657" s="625"/>
      <c r="O657" s="634"/>
      <c r="P657" s="632"/>
      <c r="Q657" s="632"/>
      <c r="R657" s="633"/>
      <c r="S657" s="634"/>
      <c r="T657" s="635"/>
      <c r="U657" s="636"/>
      <c r="V657" s="637"/>
      <c r="W657" s="637"/>
    </row>
    <row r="658">
      <c r="A658" s="625"/>
      <c r="B658" s="626"/>
      <c r="C658" s="627"/>
      <c r="D658" s="628"/>
      <c r="E658" s="629"/>
      <c r="F658" s="629"/>
      <c r="G658" s="629"/>
      <c r="H658" s="629"/>
      <c r="I658" s="630"/>
      <c r="J658" s="631"/>
      <c r="K658" s="632"/>
      <c r="L658" s="632"/>
      <c r="M658" s="633"/>
      <c r="N658" s="625"/>
      <c r="O658" s="634"/>
      <c r="P658" s="632"/>
      <c r="Q658" s="632"/>
      <c r="R658" s="633"/>
      <c r="S658" s="634"/>
      <c r="T658" s="635"/>
      <c r="U658" s="636"/>
      <c r="V658" s="637"/>
      <c r="W658" s="637"/>
    </row>
    <row r="659">
      <c r="A659" s="625"/>
      <c r="B659" s="626"/>
      <c r="C659" s="627"/>
      <c r="D659" s="628"/>
      <c r="E659" s="629"/>
      <c r="F659" s="629"/>
      <c r="G659" s="629"/>
      <c r="H659" s="629"/>
      <c r="I659" s="630"/>
      <c r="J659" s="631"/>
      <c r="K659" s="632"/>
      <c r="L659" s="632"/>
      <c r="M659" s="633"/>
      <c r="N659" s="625"/>
      <c r="O659" s="634"/>
      <c r="P659" s="632"/>
      <c r="Q659" s="632"/>
      <c r="R659" s="633"/>
      <c r="S659" s="634"/>
      <c r="T659" s="635"/>
      <c r="U659" s="636"/>
      <c r="V659" s="637"/>
      <c r="W659" s="637"/>
    </row>
    <row r="660">
      <c r="A660" s="625"/>
      <c r="B660" s="626"/>
      <c r="C660" s="627"/>
      <c r="D660" s="628"/>
      <c r="E660" s="629"/>
      <c r="F660" s="629"/>
      <c r="G660" s="629"/>
      <c r="H660" s="629"/>
      <c r="I660" s="630"/>
      <c r="J660" s="631"/>
      <c r="K660" s="632"/>
      <c r="L660" s="632"/>
      <c r="M660" s="633"/>
      <c r="N660" s="625"/>
      <c r="O660" s="634"/>
      <c r="P660" s="632"/>
      <c r="Q660" s="632"/>
      <c r="R660" s="633"/>
      <c r="S660" s="634"/>
      <c r="T660" s="635"/>
      <c r="U660" s="636"/>
      <c r="V660" s="637"/>
      <c r="W660" s="637"/>
    </row>
    <row r="661">
      <c r="A661" s="625"/>
      <c r="B661" s="626"/>
      <c r="C661" s="627"/>
      <c r="D661" s="628"/>
      <c r="E661" s="629"/>
      <c r="F661" s="629"/>
      <c r="G661" s="629"/>
      <c r="H661" s="629"/>
      <c r="I661" s="630"/>
      <c r="J661" s="631"/>
      <c r="K661" s="632"/>
      <c r="L661" s="632"/>
      <c r="M661" s="633"/>
      <c r="N661" s="625"/>
      <c r="O661" s="634"/>
      <c r="P661" s="632"/>
      <c r="Q661" s="632"/>
      <c r="R661" s="633"/>
      <c r="S661" s="634"/>
      <c r="T661" s="635"/>
      <c r="U661" s="636"/>
      <c r="V661" s="637"/>
      <c r="W661" s="637"/>
    </row>
    <row r="662">
      <c r="A662" s="625"/>
      <c r="B662" s="626"/>
      <c r="C662" s="627"/>
      <c r="D662" s="628"/>
      <c r="E662" s="629"/>
      <c r="F662" s="629"/>
      <c r="G662" s="629"/>
      <c r="H662" s="629"/>
      <c r="I662" s="630"/>
      <c r="J662" s="631"/>
      <c r="K662" s="632"/>
      <c r="L662" s="632"/>
      <c r="M662" s="633"/>
      <c r="N662" s="625"/>
      <c r="O662" s="634"/>
      <c r="P662" s="632"/>
      <c r="Q662" s="632"/>
      <c r="R662" s="633"/>
      <c r="S662" s="634"/>
      <c r="T662" s="635"/>
      <c r="U662" s="636"/>
      <c r="V662" s="637"/>
      <c r="W662" s="637"/>
    </row>
    <row r="663">
      <c r="A663" s="625"/>
      <c r="B663" s="626"/>
      <c r="C663" s="627"/>
      <c r="D663" s="628"/>
      <c r="E663" s="629"/>
      <c r="F663" s="629"/>
      <c r="G663" s="629"/>
      <c r="H663" s="629"/>
      <c r="I663" s="630"/>
      <c r="J663" s="631"/>
      <c r="K663" s="632"/>
      <c r="L663" s="632"/>
      <c r="M663" s="633"/>
      <c r="N663" s="625"/>
      <c r="O663" s="634"/>
      <c r="P663" s="632"/>
      <c r="Q663" s="632"/>
      <c r="R663" s="633"/>
      <c r="S663" s="634"/>
      <c r="T663" s="635"/>
      <c r="U663" s="636"/>
      <c r="V663" s="637"/>
      <c r="W663" s="637"/>
    </row>
    <row r="664">
      <c r="A664" s="625"/>
      <c r="B664" s="626"/>
      <c r="C664" s="627"/>
      <c r="D664" s="628"/>
      <c r="E664" s="629"/>
      <c r="F664" s="629"/>
      <c r="G664" s="629"/>
      <c r="H664" s="629"/>
      <c r="I664" s="630"/>
      <c r="J664" s="631"/>
      <c r="K664" s="632"/>
      <c r="L664" s="632"/>
      <c r="M664" s="633"/>
      <c r="N664" s="625"/>
      <c r="O664" s="634"/>
      <c r="P664" s="632"/>
      <c r="Q664" s="632"/>
      <c r="R664" s="633"/>
      <c r="S664" s="634"/>
      <c r="T664" s="635"/>
      <c r="U664" s="636"/>
      <c r="V664" s="637"/>
      <c r="W664" s="637"/>
    </row>
    <row r="665">
      <c r="A665" s="625"/>
      <c r="B665" s="626"/>
      <c r="C665" s="627"/>
      <c r="D665" s="628"/>
      <c r="E665" s="629"/>
      <c r="F665" s="629"/>
      <c r="G665" s="629"/>
      <c r="H665" s="629"/>
      <c r="I665" s="630"/>
      <c r="J665" s="631"/>
      <c r="K665" s="632"/>
      <c r="L665" s="632"/>
      <c r="M665" s="633"/>
      <c r="N665" s="625"/>
      <c r="O665" s="634"/>
      <c r="P665" s="632"/>
      <c r="Q665" s="632"/>
      <c r="R665" s="633"/>
      <c r="S665" s="634"/>
      <c r="T665" s="635"/>
      <c r="U665" s="636"/>
      <c r="V665" s="637"/>
      <c r="W665" s="637"/>
    </row>
    <row r="666">
      <c r="A666" s="625"/>
      <c r="B666" s="626"/>
      <c r="C666" s="627"/>
      <c r="D666" s="628"/>
      <c r="E666" s="629"/>
      <c r="F666" s="629"/>
      <c r="G666" s="629"/>
      <c r="H666" s="629"/>
      <c r="I666" s="630"/>
      <c r="J666" s="631"/>
      <c r="K666" s="632"/>
      <c r="L666" s="632"/>
      <c r="M666" s="633"/>
      <c r="N666" s="625"/>
      <c r="O666" s="634"/>
      <c r="P666" s="632"/>
      <c r="Q666" s="632"/>
      <c r="R666" s="633"/>
      <c r="S666" s="634"/>
      <c r="T666" s="635"/>
      <c r="U666" s="636"/>
      <c r="V666" s="637"/>
      <c r="W666" s="637"/>
    </row>
    <row r="667">
      <c r="A667" s="625"/>
      <c r="B667" s="626"/>
      <c r="C667" s="627"/>
      <c r="D667" s="628"/>
      <c r="E667" s="629"/>
      <c r="F667" s="629"/>
      <c r="G667" s="629"/>
      <c r="H667" s="629"/>
      <c r="I667" s="630"/>
      <c r="J667" s="631"/>
      <c r="K667" s="632"/>
      <c r="L667" s="632"/>
      <c r="M667" s="633"/>
      <c r="N667" s="625"/>
      <c r="O667" s="634"/>
      <c r="P667" s="632"/>
      <c r="Q667" s="632"/>
      <c r="R667" s="633"/>
      <c r="S667" s="634"/>
      <c r="T667" s="635"/>
      <c r="U667" s="636"/>
      <c r="V667" s="637"/>
      <c r="W667" s="637"/>
    </row>
    <row r="668">
      <c r="A668" s="625"/>
      <c r="B668" s="626"/>
      <c r="C668" s="627"/>
      <c r="D668" s="628"/>
      <c r="E668" s="629"/>
      <c r="F668" s="629"/>
      <c r="G668" s="629"/>
      <c r="H668" s="629"/>
      <c r="I668" s="630"/>
      <c r="J668" s="631"/>
      <c r="K668" s="632"/>
      <c r="L668" s="632"/>
      <c r="M668" s="633"/>
      <c r="N668" s="625"/>
      <c r="O668" s="634"/>
      <c r="P668" s="632"/>
      <c r="Q668" s="632"/>
      <c r="R668" s="633"/>
      <c r="S668" s="634"/>
      <c r="T668" s="635"/>
      <c r="U668" s="636"/>
      <c r="V668" s="637"/>
      <c r="W668" s="637"/>
    </row>
    <row r="669">
      <c r="A669" s="625"/>
      <c r="B669" s="626"/>
      <c r="C669" s="627"/>
      <c r="D669" s="628"/>
      <c r="E669" s="629"/>
      <c r="F669" s="629"/>
      <c r="G669" s="629"/>
      <c r="H669" s="629"/>
      <c r="I669" s="630"/>
      <c r="J669" s="631"/>
      <c r="K669" s="632"/>
      <c r="L669" s="632"/>
      <c r="M669" s="633"/>
      <c r="N669" s="625"/>
      <c r="O669" s="634"/>
      <c r="P669" s="632"/>
      <c r="Q669" s="632"/>
      <c r="R669" s="633"/>
      <c r="S669" s="634"/>
      <c r="T669" s="635"/>
      <c r="U669" s="636"/>
      <c r="V669" s="637"/>
      <c r="W669" s="637"/>
    </row>
    <row r="670">
      <c r="A670" s="625"/>
      <c r="B670" s="626"/>
      <c r="C670" s="627"/>
      <c r="D670" s="628"/>
      <c r="E670" s="629"/>
      <c r="F670" s="629"/>
      <c r="G670" s="629"/>
      <c r="H670" s="629"/>
      <c r="I670" s="630"/>
      <c r="J670" s="631"/>
      <c r="K670" s="632"/>
      <c r="L670" s="632"/>
      <c r="M670" s="633"/>
      <c r="N670" s="625"/>
      <c r="O670" s="634"/>
      <c r="P670" s="632"/>
      <c r="Q670" s="632"/>
      <c r="R670" s="633"/>
      <c r="S670" s="634"/>
      <c r="T670" s="635"/>
      <c r="U670" s="636"/>
      <c r="V670" s="637"/>
      <c r="W670" s="637"/>
    </row>
    <row r="671">
      <c r="A671" s="625"/>
      <c r="B671" s="626"/>
      <c r="C671" s="627"/>
      <c r="D671" s="628"/>
      <c r="E671" s="629"/>
      <c r="F671" s="629"/>
      <c r="G671" s="629"/>
      <c r="H671" s="629"/>
      <c r="I671" s="630"/>
      <c r="J671" s="631"/>
      <c r="K671" s="632"/>
      <c r="L671" s="632"/>
      <c r="M671" s="633"/>
      <c r="N671" s="625"/>
      <c r="O671" s="634"/>
      <c r="P671" s="632"/>
      <c r="Q671" s="632"/>
      <c r="R671" s="633"/>
      <c r="S671" s="634"/>
      <c r="T671" s="635"/>
      <c r="U671" s="636"/>
      <c r="V671" s="637"/>
      <c r="W671" s="637"/>
    </row>
    <row r="672">
      <c r="A672" s="625"/>
      <c r="B672" s="626"/>
      <c r="C672" s="627"/>
      <c r="D672" s="628"/>
      <c r="E672" s="629"/>
      <c r="F672" s="629"/>
      <c r="G672" s="629"/>
      <c r="H672" s="629"/>
      <c r="I672" s="630"/>
      <c r="J672" s="631"/>
      <c r="K672" s="632"/>
      <c r="L672" s="632"/>
      <c r="M672" s="633"/>
      <c r="N672" s="625"/>
      <c r="O672" s="634"/>
      <c r="P672" s="632"/>
      <c r="Q672" s="632"/>
      <c r="R672" s="633"/>
      <c r="S672" s="634"/>
      <c r="T672" s="635"/>
      <c r="U672" s="636"/>
      <c r="V672" s="637"/>
      <c r="W672" s="637"/>
    </row>
    <row r="673">
      <c r="A673" s="625"/>
      <c r="B673" s="626"/>
      <c r="C673" s="627"/>
      <c r="D673" s="628"/>
      <c r="E673" s="629"/>
      <c r="F673" s="629"/>
      <c r="G673" s="629"/>
      <c r="H673" s="629"/>
      <c r="I673" s="630"/>
      <c r="J673" s="631"/>
      <c r="K673" s="632"/>
      <c r="L673" s="632"/>
      <c r="M673" s="633"/>
      <c r="N673" s="625"/>
      <c r="O673" s="634"/>
      <c r="P673" s="632"/>
      <c r="Q673" s="632"/>
      <c r="R673" s="633"/>
      <c r="S673" s="634"/>
      <c r="T673" s="635"/>
      <c r="U673" s="636"/>
      <c r="V673" s="637"/>
      <c r="W673" s="637"/>
    </row>
    <row r="674">
      <c r="A674" s="625"/>
      <c r="B674" s="626"/>
      <c r="C674" s="627"/>
      <c r="D674" s="628"/>
      <c r="E674" s="629"/>
      <c r="F674" s="629"/>
      <c r="G674" s="629"/>
      <c r="H674" s="629"/>
      <c r="I674" s="630"/>
      <c r="J674" s="631"/>
      <c r="K674" s="632"/>
      <c r="L674" s="632"/>
      <c r="M674" s="633"/>
      <c r="N674" s="625"/>
      <c r="O674" s="634"/>
      <c r="P674" s="632"/>
      <c r="Q674" s="632"/>
      <c r="R674" s="633"/>
      <c r="S674" s="634"/>
      <c r="T674" s="635"/>
      <c r="U674" s="636"/>
      <c r="V674" s="637"/>
      <c r="W674" s="637"/>
    </row>
    <row r="675">
      <c r="A675" s="625"/>
      <c r="B675" s="626"/>
      <c r="C675" s="627"/>
      <c r="D675" s="628"/>
      <c r="E675" s="629"/>
      <c r="F675" s="629"/>
      <c r="G675" s="629"/>
      <c r="H675" s="629"/>
      <c r="I675" s="630"/>
      <c r="J675" s="631"/>
      <c r="K675" s="632"/>
      <c r="L675" s="632"/>
      <c r="M675" s="633"/>
      <c r="N675" s="625"/>
      <c r="O675" s="634"/>
      <c r="P675" s="632"/>
      <c r="Q675" s="632"/>
      <c r="R675" s="633"/>
      <c r="S675" s="634"/>
      <c r="T675" s="635"/>
      <c r="U675" s="636"/>
      <c r="V675" s="637"/>
      <c r="W675" s="637"/>
    </row>
    <row r="676">
      <c r="A676" s="625"/>
      <c r="B676" s="626"/>
      <c r="C676" s="627"/>
      <c r="D676" s="628"/>
      <c r="E676" s="629"/>
      <c r="F676" s="629"/>
      <c r="G676" s="629"/>
      <c r="H676" s="629"/>
      <c r="I676" s="630"/>
      <c r="J676" s="631"/>
      <c r="K676" s="632"/>
      <c r="L676" s="632"/>
      <c r="M676" s="633"/>
      <c r="N676" s="625"/>
      <c r="O676" s="634"/>
      <c r="P676" s="632"/>
      <c r="Q676" s="632"/>
      <c r="R676" s="633"/>
      <c r="S676" s="634"/>
      <c r="T676" s="635"/>
      <c r="U676" s="636"/>
      <c r="V676" s="637"/>
      <c r="W676" s="637"/>
    </row>
    <row r="677">
      <c r="A677" s="625"/>
      <c r="B677" s="626"/>
      <c r="C677" s="627"/>
      <c r="D677" s="628"/>
      <c r="E677" s="629"/>
      <c r="F677" s="629"/>
      <c r="G677" s="629"/>
      <c r="H677" s="629"/>
      <c r="I677" s="630"/>
      <c r="J677" s="631"/>
      <c r="K677" s="632"/>
      <c r="L677" s="632"/>
      <c r="M677" s="633"/>
      <c r="N677" s="625"/>
      <c r="O677" s="634"/>
      <c r="P677" s="632"/>
      <c r="Q677" s="632"/>
      <c r="R677" s="633"/>
      <c r="S677" s="634"/>
      <c r="T677" s="635"/>
      <c r="U677" s="636"/>
      <c r="V677" s="637"/>
      <c r="W677" s="637"/>
    </row>
    <row r="678">
      <c r="A678" s="625"/>
      <c r="B678" s="626"/>
      <c r="C678" s="627"/>
      <c r="D678" s="628"/>
      <c r="E678" s="629"/>
      <c r="F678" s="629"/>
      <c r="G678" s="629"/>
      <c r="H678" s="629"/>
      <c r="I678" s="630"/>
      <c r="J678" s="631"/>
      <c r="K678" s="632"/>
      <c r="L678" s="632"/>
      <c r="M678" s="633"/>
      <c r="N678" s="625"/>
      <c r="O678" s="634"/>
      <c r="P678" s="632"/>
      <c r="Q678" s="632"/>
      <c r="R678" s="633"/>
      <c r="S678" s="634"/>
      <c r="T678" s="635"/>
      <c r="U678" s="636"/>
      <c r="V678" s="637"/>
      <c r="W678" s="637"/>
    </row>
    <row r="679">
      <c r="A679" s="625"/>
      <c r="B679" s="626"/>
      <c r="C679" s="627"/>
      <c r="D679" s="628"/>
      <c r="E679" s="629"/>
      <c r="F679" s="629"/>
      <c r="G679" s="629"/>
      <c r="H679" s="629"/>
      <c r="I679" s="630"/>
      <c r="J679" s="631"/>
      <c r="K679" s="632"/>
      <c r="L679" s="632"/>
      <c r="M679" s="633"/>
      <c r="N679" s="625"/>
      <c r="O679" s="634"/>
      <c r="P679" s="632"/>
      <c r="Q679" s="632"/>
      <c r="R679" s="633"/>
      <c r="S679" s="634"/>
      <c r="T679" s="635"/>
      <c r="U679" s="636"/>
      <c r="V679" s="637"/>
      <c r="W679" s="637"/>
    </row>
    <row r="680">
      <c r="A680" s="625"/>
      <c r="B680" s="626"/>
      <c r="C680" s="627"/>
      <c r="D680" s="628"/>
      <c r="E680" s="629"/>
      <c r="F680" s="629"/>
      <c r="G680" s="629"/>
      <c r="H680" s="629"/>
      <c r="I680" s="630"/>
      <c r="J680" s="631"/>
      <c r="K680" s="632"/>
      <c r="L680" s="632"/>
      <c r="M680" s="633"/>
      <c r="N680" s="625"/>
      <c r="O680" s="634"/>
      <c r="P680" s="632"/>
      <c r="Q680" s="632"/>
      <c r="R680" s="633"/>
      <c r="S680" s="634"/>
      <c r="T680" s="635"/>
      <c r="U680" s="636"/>
      <c r="V680" s="637"/>
      <c r="W680" s="637"/>
    </row>
    <row r="681">
      <c r="A681" s="625"/>
      <c r="B681" s="626"/>
      <c r="C681" s="627"/>
      <c r="D681" s="628"/>
      <c r="E681" s="629"/>
      <c r="F681" s="629"/>
      <c r="G681" s="629"/>
      <c r="H681" s="629"/>
      <c r="I681" s="630"/>
      <c r="J681" s="631"/>
      <c r="K681" s="632"/>
      <c r="L681" s="632"/>
      <c r="M681" s="633"/>
      <c r="N681" s="625"/>
      <c r="O681" s="634"/>
      <c r="P681" s="632"/>
      <c r="Q681" s="632"/>
      <c r="R681" s="633"/>
      <c r="S681" s="634"/>
      <c r="T681" s="635"/>
      <c r="U681" s="636"/>
      <c r="V681" s="637"/>
      <c r="W681" s="637"/>
    </row>
    <row r="682">
      <c r="A682" s="625"/>
      <c r="B682" s="626"/>
      <c r="C682" s="627"/>
      <c r="D682" s="628"/>
      <c r="E682" s="629"/>
      <c r="F682" s="629"/>
      <c r="G682" s="629"/>
      <c r="H682" s="629"/>
      <c r="I682" s="630"/>
      <c r="J682" s="631"/>
      <c r="K682" s="632"/>
      <c r="L682" s="632"/>
      <c r="M682" s="633"/>
      <c r="N682" s="625"/>
      <c r="O682" s="634"/>
      <c r="P682" s="632"/>
      <c r="Q682" s="632"/>
      <c r="R682" s="633"/>
      <c r="S682" s="634"/>
      <c r="T682" s="635"/>
      <c r="U682" s="636"/>
      <c r="V682" s="637"/>
      <c r="W682" s="637"/>
    </row>
    <row r="683">
      <c r="A683" s="625"/>
      <c r="B683" s="626"/>
      <c r="C683" s="627"/>
      <c r="D683" s="628"/>
      <c r="E683" s="629"/>
      <c r="F683" s="629"/>
      <c r="G683" s="629"/>
      <c r="H683" s="629"/>
      <c r="I683" s="630"/>
      <c r="J683" s="631"/>
      <c r="K683" s="632"/>
      <c r="L683" s="632"/>
      <c r="M683" s="633"/>
      <c r="N683" s="625"/>
      <c r="O683" s="634"/>
      <c r="P683" s="632"/>
      <c r="Q683" s="632"/>
      <c r="R683" s="633"/>
      <c r="S683" s="634"/>
      <c r="T683" s="635"/>
      <c r="U683" s="636"/>
      <c r="V683" s="637"/>
      <c r="W683" s="637"/>
    </row>
    <row r="684">
      <c r="A684" s="625"/>
      <c r="B684" s="626"/>
      <c r="C684" s="627"/>
      <c r="D684" s="628"/>
      <c r="E684" s="629"/>
      <c r="F684" s="629"/>
      <c r="G684" s="629"/>
      <c r="H684" s="629"/>
      <c r="I684" s="630"/>
      <c r="J684" s="631"/>
      <c r="K684" s="632"/>
      <c r="L684" s="632"/>
      <c r="M684" s="633"/>
      <c r="N684" s="625"/>
      <c r="O684" s="634"/>
      <c r="P684" s="632"/>
      <c r="Q684" s="632"/>
      <c r="R684" s="633"/>
      <c r="S684" s="634"/>
      <c r="T684" s="635"/>
      <c r="U684" s="636"/>
      <c r="V684" s="637"/>
      <c r="W684" s="637"/>
    </row>
    <row r="685">
      <c r="A685" s="625"/>
      <c r="B685" s="626"/>
      <c r="C685" s="627"/>
      <c r="D685" s="628"/>
      <c r="E685" s="629"/>
      <c r="F685" s="629"/>
      <c r="G685" s="629"/>
      <c r="H685" s="629"/>
      <c r="I685" s="630"/>
      <c r="J685" s="631"/>
      <c r="K685" s="632"/>
      <c r="L685" s="632"/>
      <c r="M685" s="633"/>
      <c r="N685" s="625"/>
      <c r="O685" s="634"/>
      <c r="P685" s="632"/>
      <c r="Q685" s="632"/>
      <c r="R685" s="633"/>
      <c r="S685" s="634"/>
      <c r="T685" s="635"/>
      <c r="U685" s="636"/>
      <c r="V685" s="637"/>
      <c r="W685" s="637"/>
    </row>
    <row r="686">
      <c r="A686" s="625"/>
      <c r="B686" s="626"/>
      <c r="C686" s="627"/>
      <c r="D686" s="628"/>
      <c r="E686" s="629"/>
      <c r="F686" s="629"/>
      <c r="G686" s="629"/>
      <c r="H686" s="629"/>
      <c r="I686" s="630"/>
      <c r="J686" s="631"/>
      <c r="K686" s="632"/>
      <c r="L686" s="632"/>
      <c r="M686" s="633"/>
      <c r="N686" s="625"/>
      <c r="O686" s="634"/>
      <c r="P686" s="632"/>
      <c r="Q686" s="632"/>
      <c r="R686" s="633"/>
      <c r="S686" s="634"/>
      <c r="T686" s="635"/>
      <c r="U686" s="636"/>
      <c r="V686" s="637"/>
      <c r="W686" s="637"/>
    </row>
    <row r="687">
      <c r="A687" s="625"/>
      <c r="B687" s="626"/>
      <c r="C687" s="627"/>
      <c r="D687" s="628"/>
      <c r="E687" s="629"/>
      <c r="F687" s="629"/>
      <c r="G687" s="629"/>
      <c r="H687" s="629"/>
      <c r="I687" s="630"/>
      <c r="J687" s="631"/>
      <c r="K687" s="632"/>
      <c r="L687" s="632"/>
      <c r="M687" s="633"/>
      <c r="N687" s="625"/>
      <c r="O687" s="634"/>
      <c r="P687" s="632"/>
      <c r="Q687" s="632"/>
      <c r="R687" s="633"/>
      <c r="S687" s="634"/>
      <c r="T687" s="635"/>
      <c r="U687" s="636"/>
      <c r="V687" s="637"/>
      <c r="W687" s="637"/>
    </row>
    <row r="688">
      <c r="A688" s="625"/>
      <c r="B688" s="626"/>
      <c r="C688" s="627"/>
      <c r="D688" s="628"/>
      <c r="E688" s="629"/>
      <c r="F688" s="629"/>
      <c r="G688" s="629"/>
      <c r="H688" s="629"/>
      <c r="I688" s="630"/>
      <c r="J688" s="631"/>
      <c r="K688" s="632"/>
      <c r="L688" s="632"/>
      <c r="M688" s="633"/>
      <c r="N688" s="625"/>
      <c r="O688" s="634"/>
      <c r="P688" s="632"/>
      <c r="Q688" s="632"/>
      <c r="R688" s="633"/>
      <c r="S688" s="634"/>
      <c r="T688" s="635"/>
      <c r="U688" s="636"/>
      <c r="V688" s="637"/>
      <c r="W688" s="637"/>
    </row>
    <row r="689">
      <c r="A689" s="625"/>
      <c r="B689" s="626"/>
      <c r="C689" s="627"/>
      <c r="D689" s="628"/>
      <c r="E689" s="629"/>
      <c r="F689" s="629"/>
      <c r="G689" s="629"/>
      <c r="H689" s="629"/>
      <c r="I689" s="630"/>
      <c r="J689" s="631"/>
      <c r="K689" s="632"/>
      <c r="L689" s="632"/>
      <c r="M689" s="633"/>
      <c r="N689" s="625"/>
      <c r="O689" s="634"/>
      <c r="P689" s="632"/>
      <c r="Q689" s="632"/>
      <c r="R689" s="633"/>
      <c r="S689" s="634"/>
      <c r="T689" s="635"/>
      <c r="U689" s="636"/>
      <c r="V689" s="637"/>
      <c r="W689" s="637"/>
    </row>
    <row r="690">
      <c r="A690" s="625"/>
      <c r="B690" s="626"/>
      <c r="C690" s="627"/>
      <c r="D690" s="628"/>
      <c r="E690" s="629"/>
      <c r="F690" s="629"/>
      <c r="G690" s="629"/>
      <c r="H690" s="629"/>
      <c r="I690" s="630"/>
      <c r="J690" s="631"/>
      <c r="K690" s="632"/>
      <c r="L690" s="632"/>
      <c r="M690" s="633"/>
      <c r="N690" s="625"/>
      <c r="O690" s="634"/>
      <c r="P690" s="632"/>
      <c r="Q690" s="632"/>
      <c r="R690" s="633"/>
      <c r="S690" s="634"/>
      <c r="T690" s="635"/>
      <c r="U690" s="636"/>
      <c r="V690" s="637"/>
      <c r="W690" s="637"/>
    </row>
    <row r="691">
      <c r="A691" s="625"/>
      <c r="B691" s="626"/>
      <c r="C691" s="627"/>
      <c r="D691" s="628"/>
      <c r="E691" s="629"/>
      <c r="F691" s="629"/>
      <c r="G691" s="629"/>
      <c r="H691" s="629"/>
      <c r="I691" s="630"/>
      <c r="J691" s="631"/>
      <c r="K691" s="632"/>
      <c r="L691" s="632"/>
      <c r="M691" s="633"/>
      <c r="N691" s="625"/>
      <c r="O691" s="634"/>
      <c r="P691" s="632"/>
      <c r="Q691" s="632"/>
      <c r="R691" s="633"/>
      <c r="S691" s="634"/>
      <c r="T691" s="635"/>
      <c r="U691" s="636"/>
      <c r="V691" s="637"/>
      <c r="W691" s="637"/>
    </row>
    <row r="692">
      <c r="A692" s="625"/>
      <c r="B692" s="626"/>
      <c r="C692" s="627"/>
      <c r="D692" s="628"/>
      <c r="E692" s="629"/>
      <c r="F692" s="629"/>
      <c r="G692" s="629"/>
      <c r="H692" s="629"/>
      <c r="I692" s="630"/>
      <c r="J692" s="631"/>
      <c r="K692" s="632"/>
      <c r="L692" s="632"/>
      <c r="M692" s="633"/>
      <c r="N692" s="625"/>
      <c r="O692" s="634"/>
      <c r="P692" s="632"/>
      <c r="Q692" s="632"/>
      <c r="R692" s="633"/>
      <c r="S692" s="634"/>
      <c r="T692" s="635"/>
      <c r="U692" s="636"/>
      <c r="V692" s="637"/>
      <c r="W692" s="637"/>
    </row>
  </sheetData>
  <customSheetViews>
    <customSheetView guid="{80A88FB1-C55E-453A-80A0-DA2D89554AA4}" filter="1" showAutoFilter="1">
      <autoFilter ref="$A$1:$O$102"/>
    </customSheetView>
  </customSheetViews>
  <conditionalFormatting sqref="R1:R6 M2:M6">
    <cfRule type="containsBlanks" dxfId="6" priority="1">
      <formula>LEN(TRIM(R1))=0</formula>
    </cfRule>
  </conditionalFormatting>
  <conditionalFormatting sqref="M2:M6 R2:R6">
    <cfRule type="cellIs" dxfId="7" priority="2" operator="equal">
      <formula>"Low"</formula>
    </cfRule>
  </conditionalFormatting>
  <conditionalFormatting sqref="M2:M6 R2:R6">
    <cfRule type="cellIs" dxfId="8" priority="3" operator="equal">
      <formula>"Medium"</formula>
    </cfRule>
  </conditionalFormatting>
  <conditionalFormatting sqref="M2:M6 R2:R6">
    <cfRule type="cellIs" dxfId="9" priority="4" operator="equal">
      <formula>"High"</formula>
    </cfRule>
  </conditionalFormatting>
  <conditionalFormatting sqref="M2:M6 R2:R6">
    <cfRule type="cellIs" dxfId="10" priority="5" operator="equal">
      <formula>"Critical"</formula>
    </cfRule>
  </conditionalFormatting>
  <conditionalFormatting sqref="K2:L102 P2:Q102">
    <cfRule type="cellIs" dxfId="7" priority="6" operator="equal">
      <formula>1</formula>
    </cfRule>
  </conditionalFormatting>
  <conditionalFormatting sqref="K2:L102 P2:Q102">
    <cfRule type="cellIs" dxfId="7" priority="7" operator="equal">
      <formula>2</formula>
    </cfRule>
  </conditionalFormatting>
  <conditionalFormatting sqref="K2:L102 P2:Q102">
    <cfRule type="cellIs" dxfId="8" priority="8" operator="equal">
      <formula>3</formula>
    </cfRule>
  </conditionalFormatting>
  <conditionalFormatting sqref="K2:L102 P2:Q102">
    <cfRule type="cellIs" dxfId="9" priority="9" operator="equal">
      <formula>4</formula>
    </cfRule>
  </conditionalFormatting>
  <conditionalFormatting sqref="K2:L102 P2:Q102">
    <cfRule type="cellIs" dxfId="10" priority="10" operator="equal">
      <formula>5</formula>
    </cfRule>
  </conditionalFormatting>
  <conditionalFormatting sqref="M2:M102 R2:R102">
    <cfRule type="colorScale" priority="11">
      <colorScale>
        <cfvo type="formula" val="0"/>
        <cfvo type="formula" val="25"/>
        <color rgb="FFFFFFFF"/>
        <color rgb="FFE67C73"/>
      </colorScale>
    </cfRule>
  </conditionalFormatting>
  <conditionalFormatting sqref="G2:G692">
    <cfRule type="expression" dxfId="10" priority="12">
      <formula>IF(AND(ISEMPTY(G2)&gt;0, G2&lt;=DATE(2026,1,1)),1,)</formula>
    </cfRule>
  </conditionalFormatting>
  <conditionalFormatting sqref="G2:G692">
    <cfRule type="expression" dxfId="11" priority="13">
      <formula>IF(AND(ISEMPTY(G2)&gt;0, G2&lt;=DATE(2026,4,1)),1,)</formula>
    </cfRule>
  </conditionalFormatting>
  <conditionalFormatting sqref="G2:G692">
    <cfRule type="expression" dxfId="12" priority="14">
      <formula>IF(AND(ISEMPTY(G2)&gt;0, G2&lt;=DATE(2026,9,1)),1,)</formula>
    </cfRule>
  </conditionalFormatting>
  <conditionalFormatting sqref="G2:G692">
    <cfRule type="expression" dxfId="13" priority="15">
      <formula>IF(AND(ISEMPTY(G2)&gt;0, G2&lt;=DATE(2027,7,1)),1,)</formula>
    </cfRule>
  </conditionalFormatting>
  <conditionalFormatting sqref="A2:W692">
    <cfRule type="expression" dxfId="14" priority="16">
      <formula>IF($A2="Goal",1,0)</formula>
    </cfRule>
  </conditionalFormatting>
  <conditionalFormatting sqref="A2:W692">
    <cfRule type="expression" dxfId="15" priority="17">
      <formula>IF($A2="Feature",1,0)</formula>
    </cfRule>
  </conditionalFormatting>
  <conditionalFormatting sqref="A2:W692">
    <cfRule type="expression" dxfId="16" priority="18">
      <formula>IF($A2="Issue", 1,0)</formula>
    </cfRule>
  </conditionalFormatting>
  <conditionalFormatting sqref="A2:W692">
    <cfRule type="expression" dxfId="17" priority="19">
      <formula>IF($A2="Activity",1,0)</formula>
    </cfRule>
  </conditionalFormatting>
  <dataValidations>
    <dataValidation type="list" allowBlank="1" sqref="B2:B102">
      <formula1>"Suggested,Planned,-,Open,Active,Deferred,Resolved,Cancelled,--,Confirmed,Proposed"</formula1>
    </dataValidation>
    <dataValidation type="list" allowBlank="1" sqref="E2:E102">
      <formula1>"XL,L,M,S"</formula1>
    </dataValidation>
    <dataValidation type="custom" allowBlank="1" showDropDown="1" sqref="G2:G102 J2:J102">
      <formula1>OR(NOT(ISERROR(DATEVALUE(G2))), AND(ISNUMBER(G2), LEFT(CELL("format", G2))="D"))</formula1>
    </dataValidation>
    <dataValidation type="custom" allowBlank="1" showDropDown="1" sqref="V2:W102">
      <formula1>AND(ISNUMBER(V2),(NOT(OR(NOT(ISERROR(DATEVALUE(V2))), AND(ISNUMBER(V2), LEFT(CELL("format", V2))="D")))))</formula1>
    </dataValidation>
    <dataValidation type="list" allowBlank="1" sqref="A2:A102">
      <formula1>"Goal,Feature,Issue,Activity"</formula1>
    </dataValidation>
    <dataValidation allowBlank="1" showDropDown="1" sqref="C2:D102 O2:O102 S2:S102"/>
    <dataValidation type="list" allowBlank="1" sqref="K2:L102 P2:Q102">
      <formula1>"1,2,3,4,5"</formula1>
    </dataValidation>
  </dataValidations>
  <hyperlinks>
    <hyperlink r:id="rId2" ref="I2"/>
    <hyperlink r:id="rId3" ref="I6"/>
    <hyperlink r:id="rId4" ref="I7"/>
    <hyperlink r:id="rId5" ref="I8"/>
    <hyperlink r:id="rId6" location="slide=id.g39c36f3be56_0_46" ref="D57"/>
  </hyperlinks>
  <drawing r:id="rId7"/>
  <legacyDrawing r:id="rId8"/>
  <tableParts count="1">
    <tablePart r:id="rId10"/>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6" width="22.63"/>
  </cols>
  <sheetData>
    <row r="1" ht="22.5" customHeight="1">
      <c r="A1" s="638" t="s">
        <v>1290</v>
      </c>
      <c r="B1" s="638" t="s">
        <v>1291</v>
      </c>
      <c r="C1" s="638" t="s">
        <v>1292</v>
      </c>
      <c r="D1" s="638" t="s">
        <v>1293</v>
      </c>
      <c r="E1" s="638" t="s">
        <v>1294</v>
      </c>
      <c r="F1" s="638" t="s">
        <v>1295</v>
      </c>
    </row>
    <row r="2" ht="22.5" customHeight="1">
      <c r="A2" s="639"/>
      <c r="B2" s="639"/>
      <c r="C2" s="639"/>
      <c r="D2" s="639"/>
      <c r="E2" s="639"/>
      <c r="F2" s="639"/>
    </row>
    <row r="3" ht="22.5" customHeight="1">
      <c r="A3" s="639"/>
      <c r="B3" s="639"/>
      <c r="C3" s="639"/>
      <c r="D3" s="639"/>
      <c r="E3" s="639"/>
      <c r="F3" s="639"/>
    </row>
    <row r="4" ht="22.5" customHeight="1">
      <c r="A4" s="639"/>
      <c r="B4" s="639"/>
      <c r="C4" s="639"/>
      <c r="D4" s="639"/>
      <c r="E4" s="639"/>
      <c r="F4" s="639"/>
    </row>
    <row r="5" ht="22.5" customHeight="1">
      <c r="A5" s="639"/>
      <c r="B5" s="639"/>
      <c r="C5" s="639"/>
      <c r="D5" s="639"/>
      <c r="E5" s="639"/>
      <c r="F5" s="639"/>
    </row>
    <row r="6" ht="22.5" customHeight="1">
      <c r="A6" s="639"/>
      <c r="B6" s="639"/>
      <c r="C6" s="639"/>
      <c r="D6" s="639"/>
      <c r="E6" s="639"/>
      <c r="F6" s="639"/>
    </row>
    <row r="7" ht="22.5" customHeight="1">
      <c r="A7" s="639"/>
      <c r="B7" s="639"/>
      <c r="C7" s="639"/>
      <c r="D7" s="639"/>
      <c r="E7" s="639"/>
      <c r="F7" s="639"/>
    </row>
    <row r="8" ht="22.5" customHeight="1">
      <c r="A8" s="639"/>
      <c r="B8" s="639"/>
      <c r="C8" s="639"/>
      <c r="D8" s="639"/>
      <c r="E8" s="639"/>
      <c r="F8" s="639"/>
    </row>
  </sheetData>
  <drawing r:id="rId1"/>
  <tableParts count="1">
    <tablePart r:id="rId3"/>
  </tableParts>
</worksheet>
</file>